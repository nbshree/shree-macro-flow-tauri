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127"/>
  <workbookPr defaultThemeVersion="153222"/>
  <bookViews>
    <workbookView xWindow="-28920" yWindow="1440" windowWidth="29040" windowHeight="15720" activeTab="0"/>
  </bookViews>
  <sheets>
    <sheet name="Sheet1" sheetId="1" r:id="rId1"/>
  </sheets>
  <definedNames>
    <definedName name="玄机">Sheet1!#REF!</definedName>
  </definedNames>
  <calcPr calcId="181029"/>
</workbook>
</file>

<file path=xl/sharedStrings.xml><?xml version="1.0" encoding="utf-8"?>
<sst xmlns="http://schemas.openxmlformats.org/spreadsheetml/2006/main" uniqueCount="59" count="59">
  <si>
    <t>数值</t>
  </si>
  <si>
    <t>评分</t>
  </si>
  <si>
    <t>内功</t>
  </si>
  <si>
    <t>是/否携带</t>
  </si>
  <si>
    <t>收益</t>
  </si>
  <si>
    <t>赛年（填百分号前）</t>
  </si>
  <si>
    <t>灼星贯日</t>
  </si>
  <si>
    <t>是</t>
  </si>
  <si>
    <t>力量/气海</t>
  </si>
  <si>
    <t>承影锋镝</t>
  </si>
  <si>
    <t>攻击</t>
  </si>
  <si>
    <t>绝电惊沙</t>
  </si>
  <si>
    <t>破防</t>
  </si>
  <si>
    <t>日月两仪</t>
  </si>
  <si>
    <t>否</t>
  </si>
  <si>
    <t>流派克制（填百分号前）</t>
  </si>
  <si>
    <t>楚狂歌</t>
  </si>
  <si>
    <t>会心</t>
  </si>
  <si>
    <t>众妙</t>
  </si>
  <si>
    <t>最大攻击</t>
  </si>
  <si>
    <t>焚刃</t>
  </si>
  <si>
    <t>最小攻击</t>
  </si>
  <si>
    <t>斩精</t>
  </si>
  <si>
    <t>身法</t>
  </si>
  <si>
    <t>破釜</t>
  </si>
  <si>
    <t>耐力</t>
  </si>
  <si>
    <t>根骨</t>
  </si>
  <si>
    <t>锻寒芒</t>
  </si>
  <si>
    <t>灼星贯日-灵</t>
  </si>
  <si>
    <t>击衰</t>
  </si>
  <si>
    <t>承影锋镝-灵</t>
  </si>
  <si>
    <t>惊羽</t>
  </si>
  <si>
    <t>绝电惊沙-灵</t>
  </si>
  <si>
    <t>裁锋</t>
  </si>
  <si>
    <t>日月两仪-灵</t>
  </si>
  <si>
    <t>五韵谣</t>
  </si>
  <si>
    <t>楚狂歌-灵</t>
  </si>
  <si>
    <t>众妙-灵</t>
  </si>
  <si>
    <t>焚刃-灵</t>
  </si>
  <si>
    <t>由月望舒（逆水寒手游）制作    无偿分享</t>
  </si>
  <si>
    <t>斩精-灵</t>
  </si>
  <si>
    <t>破釜-灵</t>
  </si>
  <si>
    <t>计算公式来源于   折字愿为安</t>
  </si>
  <si>
    <t>锻寒芒-灵</t>
  </si>
  <si>
    <t>击衰-灵</t>
  </si>
  <si>
    <t>惊羽-灵</t>
  </si>
  <si>
    <t>裁锋-灵</t>
  </si>
  <si>
    <t>五韵谣-灵</t>
  </si>
  <si>
    <t>词条分</t>
  </si>
  <si>
    <t>特性分</t>
  </si>
  <si>
    <t>总分</t>
  </si>
  <si>
    <r>
      <t>7.</t>
    </r>
    <r>
      <rPr>
        <b/>
        <charset val="134"/>
        <sz val="11"/>
        <color rgb="FFFF0000"/>
        <rFont val="等线"/>
      </rPr>
      <t>20</t>
    </r>
    <r>
      <rPr>
        <b/>
        <charset val="134"/>
        <sz val="11"/>
        <color rgb="FFFF0000"/>
        <rFont val="等线"/>
      </rPr>
      <t>日新世界防守团内功计算器</t>
    </r>
  </si>
  <si>
    <t xml:space="preserve">感谢 杰少、 满天星河 智齿提供帮助   </t>
  </si>
  <si>
    <r>
      <t>5</t>
    </r>
    <r>
      <rPr>
        <b/>
        <charset val="134"/>
        <sz val="11"/>
        <color rgb="FF156082"/>
        <rFont val="等线"/>
      </rPr>
      <t>7</t>
    </r>
    <r>
      <rPr>
        <b/>
        <charset val="134"/>
        <sz val="11"/>
        <color rgb="FF156082"/>
        <rFont val="等线"/>
      </rPr>
      <t>%以下 建议转生</t>
    </r>
  </si>
  <si>
    <t>57%~63%豪杰</t>
  </si>
  <si>
    <r>
      <t>6</t>
    </r>
    <r>
      <rPr>
        <b/>
        <charset val="134"/>
        <sz val="11"/>
        <color rgb="FFE49EDD"/>
        <rFont val="等线"/>
      </rPr>
      <t>3</t>
    </r>
    <r>
      <rPr>
        <b/>
        <charset val="134"/>
        <sz val="11"/>
        <color rgb="FFE49EDD"/>
        <rFont val="等线"/>
      </rPr>
      <t>%~7</t>
    </r>
    <r>
      <rPr>
        <b/>
        <charset val="134"/>
        <sz val="11"/>
        <color rgb="FFE49EDD"/>
        <rFont val="等线"/>
      </rPr>
      <t>0</t>
    </r>
    <r>
      <rPr>
        <b/>
        <charset val="134"/>
        <sz val="11"/>
        <color rgb="FFE49EDD"/>
        <rFont val="等线"/>
      </rPr>
      <t>%宗师</t>
    </r>
  </si>
  <si>
    <r>
      <t>7</t>
    </r>
    <r>
      <rPr>
        <b/>
        <charset val="134"/>
        <sz val="11"/>
        <color rgb="FFFF0000"/>
        <rFont val="等线"/>
      </rPr>
      <t>0</t>
    </r>
    <r>
      <rPr>
        <b/>
        <charset val="134"/>
        <sz val="11"/>
        <color rgb="FFFF0000"/>
        <rFont val="等线"/>
      </rPr>
      <t>%+泰斗</t>
    </r>
  </si>
  <si>
    <t>贯山月</t>
  </si>
  <si>
    <t>贯山月-灵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</si>
</sst>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0.00_ "/>
    <numFmt numFmtId="10" formatCode="0.00%"/>
    <numFmt numFmtId="1" formatCode="0"/>
  </numFmts>
  <fonts count="17">
    <font>
      <name val="等线"/>
      <sz val="11"/>
    </font>
    <font>
      <name val="等线"/>
      <charset val="134"/>
      <sz val="11"/>
      <color rgb="FF000000"/>
    </font>
    <font>
      <name val="等线"/>
      <b/>
      <charset val="134"/>
      <sz val="11"/>
      <color rgb="FFFF0000"/>
    </font>
    <font>
      <name val="等线"/>
      <charset val="134"/>
      <sz val="11"/>
    </font>
    <font>
      <name val="等线"/>
      <b/>
      <charset val="134"/>
      <sz val="11"/>
      <color rgb="FF000000"/>
    </font>
    <font>
      <name val="等线"/>
      <charset val="134"/>
      <sz val="11"/>
      <color rgb="FF000000"/>
    </font>
    <font>
      <name val="等线"/>
      <charset val="134"/>
      <sz val="11"/>
      <color rgb="FFFF0000"/>
    </font>
    <font>
      <name val="等线"/>
      <b/>
      <charset val="134"/>
      <sz val="11"/>
      <color rgb="FFFF0000"/>
    </font>
    <font>
      <name val="等线"/>
      <b/>
      <charset val="134"/>
      <sz val="11"/>
      <color rgb="FF4D93D9"/>
    </font>
    <font>
      <name val="等线"/>
      <b/>
      <charset val="134"/>
      <sz val="11"/>
      <color rgb="FF4D93D9"/>
    </font>
    <font>
      <name val="等线"/>
      <b/>
      <charset val="134"/>
      <sz val="11"/>
      <color rgb="FF4D93D9"/>
    </font>
    <font>
      <name val="等线"/>
      <b/>
      <charset val="134"/>
      <sz val="11"/>
      <color rgb="FFD86DCD"/>
    </font>
    <font>
      <name val="等线"/>
      <charset val="134"/>
      <sz val="11"/>
      <color rgb="FF4EA72E"/>
    </font>
    <font>
      <name val="等线"/>
      <b/>
      <charset val="134"/>
      <sz val="11"/>
      <color rgb="FF156082"/>
    </font>
    <font>
      <name val="等线"/>
      <b/>
      <charset val="134"/>
      <sz val="11"/>
      <color rgb="FF4EA72E"/>
    </font>
    <font>
      <name val="等线"/>
      <b/>
      <charset val="134"/>
      <sz val="11"/>
      <color rgb="FFE49EDD"/>
    </font>
    <font>
      <name val="等线"/>
      <b/>
      <charset val="134"/>
      <sz val="11"/>
      <color rgb="FFFF0000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164" fontId="1" fillId="0" borderId="0" xfId="0" applyNumberFormat="1">
      <alignment vertical="center"/>
    </xf>
    <xf numFmtId="10" fontId="1" fillId="0" borderId="0" xfId="0" applyNumberFormat="1">
      <alignment vertical="center"/>
    </xf>
    <xf numFmtId="0" fontId="1" fillId="0" borderId="0" xfId="0" applyAlignment="1">
      <alignment vertical="center" wrapText="1"/>
    </xf>
    <xf numFmtId="164" fontId="1" fillId="0" borderId="0" xfId="0" applyNumberFormat="1" applyAlignment="1">
      <alignment vertical="center" wrapText="1"/>
    </xf>
    <xf numFmtId="0" fontId="1" fillId="0" borderId="0" xfId="0" applyAlignment="1">
      <alignment horizontal="center" vertical="center"/>
      <protection locked="0" hidden="0"/>
    </xf>
    <xf numFmtId="0" fontId="1" fillId="0" borderId="0" xfId="0">
      <alignment vertical="center"/>
      <protection locked="0" hidden="0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1" xfId="0" applyBorder="1" applyAlignment="1">
      <alignment horizontal="center" vertical="center" wrapText="1"/>
    </xf>
    <xf numFmtId="0" fontId="1" fillId="0" borderId="1" xfId="0" applyBorder="1" applyAlignment="1">
      <alignment horizontal="center" vertical="center"/>
    </xf>
    <xf numFmtId="164" fontId="1" fillId="0" borderId="1" xfId="0" applyNumberFormat="1" applyBorder="1" applyAlignment="1">
      <alignment horizontal="center" vertical="center" wrapText="1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  <protection locked="0" hidden="0"/>
    </xf>
    <xf numFmtId="164" fontId="1" fillId="0" borderId="0" xfId="0" applyNumberFormat="1">
      <alignment vertical="center"/>
      <protection locked="0" hidden="0"/>
    </xf>
    <xf numFmtId="0" fontId="1" fillId="0" borderId="1" xfId="0" applyBorder="1" applyAlignment="1">
      <alignment horizontal="center" vertical="center"/>
      <protection locked="0" hidden="0"/>
    </xf>
    <xf numFmtId="1" fontId="1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  <protection locked="0" hidden="0"/>
    </xf>
    <xf numFmtId="0" fontId="3" fillId="0" borderId="0" xfId="0" applyFont="1" applyAlignment="1">
      <alignment horizontal="center" vertical="center"/>
      <protection locked="0" hidden="0"/>
    </xf>
    <xf numFmtId="0" fontId="2" fillId="0" borderId="0" xfId="0" applyFont="1" applyAlignment="1">
      <alignment vertical="center" wrapText="1"/>
      <protection locked="0" hidden="0"/>
    </xf>
    <xf numFmtId="0" fontId="2" fillId="0" borderId="0" xfId="0" applyFont="1" applyAlignment="1">
      <alignment horizontal="left" vertical="center" wrapText="1"/>
      <protection locked="0" hidden="0"/>
    </xf>
    <xf numFmtId="0" fontId="1" fillId="0" borderId="0" xfId="0" applyAlignment="1">
      <alignment horizontal="center" vertical="center" wrapText="1"/>
      <protection locked="0" hidden="0"/>
    </xf>
    <xf numFmtId="0" fontId="2" fillId="0" borderId="0" xfId="0" applyFont="1" applyAlignment="1">
      <alignment horizontal="center" vertical="center" wrapText="1"/>
      <protection locked="0" hidden="0"/>
    </xf>
    <xf numFmtId="0" fontId="4" fillId="0" borderId="0" xfId="0" applyFont="1">
      <alignment vertical="center"/>
      <protection locked="0" hidden="0"/>
    </xf>
    <xf numFmtId="0" fontId="1" fillId="0" borderId="1" xfId="0" applyBorder="1" applyAlignment="1">
      <alignment horizontal="center" vertical="center" wrapText="1"/>
      <protection locked="0" hidden="0"/>
    </xf>
    <xf numFmtId="0" fontId="2" fillId="0" borderId="0" xfId="0" applyFont="1">
      <alignment vertical="center"/>
      <protection locked="0" hidden="0"/>
    </xf>
    <xf numFmtId="0" fontId="5" fillId="0" borderId="1" xfId="0" applyFont="1" applyBorder="1" applyAlignment="1">
      <alignment horizontal="center" vertical="center" wrapText="1"/>
    </xf>
    <xf numFmtId="10" fontId="6" fillId="0" borderId="0" xfId="0" applyNumberFormat="1" applyFont="1">
      <alignment vertical="center"/>
      <protection locked="0" hidden="0"/>
    </xf>
    <xf numFmtId="164" fontId="1" fillId="0" borderId="0" xfId="0" applyNumberFormat="1" applyAlignment="1">
      <alignment horizontal="center" vertical="center" wrapText="1"/>
    </xf>
    <xf numFmtId="0" fontId="1" fillId="0" borderId="0" xfId="0" applyAlignment="1">
      <alignment horizontal="center" vertical="center"/>
    </xf>
    <xf numFmtId="0" fontId="7" fillId="0" borderId="0" xfId="0" applyFont="1">
      <alignment vertical="center"/>
      <protection locked="0" hidden="0"/>
    </xf>
    <xf numFmtId="0" fontId="1" fillId="0" borderId="0" xfId="0" applyAlignment="1">
      <alignment horizontal="center" vertical="center" wrapText="1"/>
    </xf>
    <xf numFmtId="0" fontId="8" fillId="0" borderId="2" xfId="0" applyFont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10" fillId="0" borderId="5" xfId="0" applyFont="1" applyBorder="1">
      <alignment vertical="center"/>
    </xf>
    <xf numFmtId="0" fontId="9" fillId="0" borderId="0" xfId="0" applyFont="1">
      <alignment vertical="center"/>
    </xf>
    <xf numFmtId="0" fontId="9" fillId="0" borderId="6" xfId="0" applyFont="1" applyBorder="1">
      <alignment vertical="center"/>
    </xf>
    <xf numFmtId="0" fontId="11" fillId="0" borderId="0" xfId="0" applyFont="1">
      <alignment vertical="center"/>
      <protection locked="0" hidden="0"/>
    </xf>
    <xf numFmtId="0" fontId="12" fillId="0" borderId="0" xfId="0" applyFont="1">
      <alignment vertical="center"/>
      <protection locked="0" hidden="0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vertical="center" wrapText="1"/>
      <protection locked="0" hidden="0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7" xfId="0" applyBorder="1" applyAlignment="1">
      <alignment vertical="bottom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10" fontId="12" fillId="0" borderId="0" xfId="0" applyNumberFormat="1" applyFont="1">
      <alignment vertical="center"/>
      <protection locked="0" hidden="0"/>
    </xf>
    <xf numFmtId="0" fontId="12" fillId="0" borderId="0" xfId="0" applyFont="1" applyAlignment="1">
      <alignment vertical="center" wrapText="1"/>
      <protection locked="0" hidden="0"/>
    </xf>
    <xf numFmtId="164" fontId="12" fillId="0" borderId="0" xfId="0" applyNumberFormat="1" applyFont="1" applyAlignment="1">
      <alignment vertical="center" wrapText="1"/>
      <protection locked="0" hidden="0"/>
    </xf>
    <xf numFmtId="164" fontId="3" fillId="0" borderId="0" xfId="0" applyNumberFormat="1" applyFont="1" applyAlignment="1">
      <alignment horizontal="center" vertical="center"/>
    </xf>
    <xf numFmtId="0" fontId="1" fillId="0" borderId="0" xfId="0">
      <alignment vertical="center"/>
      <protection locked="0" hidden="1"/>
    </xf>
    <xf numFmtId="164" fontId="1" fillId="0" borderId="0" xfId="0" applyNumberFormat="1">
      <alignment vertical="center"/>
      <protection locked="0" hidden="1"/>
    </xf>
    <xf numFmtId="10" fontId="1" fillId="0" borderId="0" xfId="0" applyNumberFormat="1">
      <alignment vertical="center"/>
      <protection locked="0" hidden="1"/>
    </xf>
    <xf numFmtId="0" fontId="1" fillId="0" borderId="0" xfId="0" applyAlignment="1">
      <alignment vertical="center" wrapText="1"/>
      <protection locked="0" hidden="1"/>
    </xf>
    <xf numFmtId="164" fontId="1" fillId="0" borderId="0" xfId="0" applyNumberFormat="1" applyAlignment="1">
      <alignment vertical="center" wrapText="1"/>
      <protection locked="0" hidden="1"/>
    </xf>
  </cellXfs>
  <cellStyles count="1">
    <cellStyle name="常规" xfId="0" builtinId="0"/>
  </cellStyles>
  <dxfs count="10">
    <dxf>
      <font>
        <b/>
        <color rgb="FF000000"/>
      </font>
      <fill>
        <patternFill patternType="solid">
          <fgColor rgb="FFC0E6F5"/>
          <bgColor rgb="FFC0E6F5"/>
        </patternFill>
      </fill>
      <border>
        <left/>
        <right/>
        <top/>
        <bottom style="thin">
          <color rgb="FF44B3E1"/>
        </bottom>
        <diagonal/>
      </border>
    </dxf>
    <dxf>
      <font>
        <b/>
        <color rgb="FF000000"/>
      </font>
      <fill>
        <patternFill patternType="solid">
          <fgColor rgb="FFC0E6F5"/>
          <bgColor rgb="FFC0E6F5"/>
        </patternFill>
      </fill>
      <border>
        <left/>
        <right/>
        <top style="thin">
          <color rgb="FF44B3E1"/>
        </top>
        <bottom style="thin">
          <color rgb="FF44B3E1"/>
        </bottom>
        <diagonal/>
      </border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  <border>
        <left/>
        <right/>
        <top style="thin">
          <color rgb="FF156082"/>
        </top>
        <bottom style="thin">
          <color rgb="FF156082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44B3E1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C0E6F5"/>
          <bgColor rgb="FFC0E6F5"/>
        </patternFill>
      </fill>
      <border>
        <left/>
        <right/>
        <top/>
        <bottom style="thin">
          <color rgb="FF44B3E1"/>
        </bottom>
        <diagonal/>
      </border>
    </dxf>
    <dxf>
      <fill>
        <patternFill patternType="solid">
          <fgColor rgb="FFC0E6F5"/>
          <bgColor rgb="FFC0E6F5"/>
        </patternFill>
      </fill>
      <border>
        <left/>
        <right/>
        <top/>
        <bottom style="thin">
          <color rgb="FF44B3E1"/>
        </bottom>
        <diagonal/>
      </border>
    </dxf>
  </dxfs>
  <tableStyles defaultTableStyle="TableStyleMedium2" defaultPivotStyle="PivotStylePreset2_Accent1" count="1">
    <tableStyle name="PivotStylePreset2_Accent1" table="0" count="10">
      <tableStyleElement type="headerRow" dxfId="0"/>
      <tableStyleElement type="totalRow" dxfId="1"/>
      <tableStyleElement type="firstRowStripe" dxfId="2"/>
      <tableStyleElement type="firstColumnStripe" dxfId="3"/>
      <tableStyleElement type="firstSubtotalRow" dxfId="4"/>
      <tableStyleElement type="secondSubtotalRow" dxfId="5"/>
      <tableStyleElement type="firstRowSubheading" dxfId="6"/>
      <tableStyleElement type="secondRowSubheading" dxfId="7"/>
      <tableStyleElement type="pageFieldLabels" dxfId="8"/>
      <tableStyleElement type="pageFieldValues" dxfId="9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113764</xdr:colOff>
      <xdr:row>15</xdr:row>
      <xdr:rowOff>151640</xdr:rowOff>
    </xdr:from>
    <xdr:to>
      <xdr:col>31</xdr:col>
      <xdr:colOff>144102</xdr:colOff>
      <xdr:row>21</xdr:row>
      <xdr:rowOff>151640</xdr:rowOff>
    </xdr:to>
    <xdr:pic>
      <xdr:nvPicPr>
        <xdr:cNvPr id="2" name="图片 4" descr=" "/>
        <xdr:cNvPicPr/>
      </xdr:nvPicPr>
      <xdr:blipFill>
        <a:blip xmlns:r="http://schemas.openxmlformats.org/officeDocument/2006/relationships" r:embed="rId1"/>
        <a:srcRect r="-443616" l="100000" t="100000" b="-443617"/>
        <a:stretch>
          <a:fillRect/>
        </a:stretch>
      </xdr:blipFill>
      <xdr:spPr>
        <a:xfrm>
          <a:off x="22458044" y="4242435"/>
          <a:ext cx="2060576" cy="168592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6</xdr:col>
      <xdr:colOff>431323</xdr:colOff>
      <xdr:row>30</xdr:row>
      <xdr:rowOff>215850</xdr:rowOff>
    </xdr:to>
    <xdr:pic>
      <xdr:nvPicPr>
        <xdr:cNvPr id="3" name="图片 3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453890" y="7192645"/>
          <a:ext cx="1430655" cy="134302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78"/>
  <sheetViews>
    <sheetView tabSelected="1" workbookViewId="0" topLeftCell="B1" zoomScale="58">
      <selection activeCell="H3" sqref="H3"/>
    </sheetView>
  </sheetViews>
  <sheetFormatPr defaultRowHeight="14.25" outlineLevelRow="1"/>
  <cols>
    <col min="1" max="1" customWidth="1" width="8.75" style="0"/>
    <col min="2" max="2" customWidth="1" width="21.0" style="0"/>
    <col min="3" max="3" customWidth="1" width="9.5" style="0"/>
    <col min="4" max="4" customWidth="1" width="9.5" style="1"/>
    <col min="5" max="5" customWidth="1" width="9.5" style="2"/>
    <col min="6" max="6" customWidth="1" width="13.125" style="0"/>
    <col min="7" max="12" customWidth="1" width="9.5" style="0"/>
    <col min="13" max="13" customWidth="1" width="5.5" style="0"/>
    <col min="14" max="14" customWidth="1" width="19.5" style="3"/>
    <col min="15" max="15" customWidth="1" width="11.5" style="0"/>
    <col min="16" max="16" customWidth="1" width="13.5" style="4"/>
    <col min="17" max="18" customWidth="1" width="9.25" style="0"/>
    <col min="19" max="19" customWidth="1" width="10.875" style="0"/>
    <col min="20" max="27" customWidth="1" width="9.5" style="0"/>
    <col min="28" max="28" customWidth="1" width="8.875" style="0"/>
  </cols>
  <sheetData>
    <row r="1" spans="8:8">
      <c r="K1" s="5"/>
      <c r="L1" s="5"/>
    </row>
    <row r="2" spans="8:8" ht="22.15" customHeight="1">
      <c r="A2" s="6"/>
      <c r="B2" s="7"/>
      <c r="C2" s="8" t="s">
        <v>0</v>
      </c>
      <c r="D2" s="9" t="s">
        <v>1</v>
      </c>
      <c r="F2" s="10" t="s">
        <v>2</v>
      </c>
      <c r="G2" s="11" t="s">
        <v>3</v>
      </c>
      <c r="H2" s="12" t="s">
        <v>4</v>
      </c>
      <c r="I2" s="11"/>
      <c r="J2" s="13"/>
      <c r="K2" s="5"/>
      <c r="L2" s="5"/>
      <c r="M2" s="6"/>
      <c r="R2" s="5"/>
      <c r="S2" s="5"/>
      <c r="T2" s="6"/>
      <c r="U2" s="6"/>
      <c r="V2" s="6"/>
      <c r="W2" s="6"/>
      <c r="X2" s="6"/>
      <c r="Y2" s="6"/>
    </row>
    <row r="3" spans="8:8" ht="22.15" customHeight="1">
      <c r="A3" s="6"/>
      <c r="B3" s="8" t="s">
        <v>5</v>
      </c>
      <c r="C3" s="14">
        <v>1.0</v>
      </c>
      <c r="D3" s="9">
        <f>0.86*C3</f>
        <v>0.86</v>
      </c>
      <c r="E3" s="15"/>
      <c r="F3" s="10" t="s">
        <v>6</v>
      </c>
      <c r="G3" s="16" t="s">
        <v>7</v>
      </c>
      <c r="H3" s="12">
        <v>6.25</v>
      </c>
      <c r="I3" s="11">
        <f t="shared" si="0" ref="I3:I17">COUNTIF(G3,"=是")</f>
        <v>1.0</v>
      </c>
      <c r="J3" s="5"/>
      <c r="K3" s="5"/>
      <c r="L3" s="5"/>
      <c r="M3" s="5"/>
      <c r="R3" s="5"/>
      <c r="S3" s="5"/>
      <c r="T3" s="5"/>
      <c r="U3" s="5"/>
      <c r="V3" s="5"/>
      <c r="W3" s="5"/>
      <c r="X3" s="5"/>
      <c r="Y3" s="5"/>
    </row>
    <row r="4" spans="8:8" ht="19.9" customHeight="1">
      <c r="A4" s="6"/>
      <c r="B4" s="8" t="s">
        <v>8</v>
      </c>
      <c r="C4" s="14">
        <v>100.0</v>
      </c>
      <c r="D4" s="9">
        <f>(2.5*C4*0.043+C4*0.034)</f>
        <v>14.15</v>
      </c>
      <c r="E4" s="15"/>
      <c r="F4" s="10" t="s">
        <v>9</v>
      </c>
      <c r="G4" s="16" t="s">
        <v>7</v>
      </c>
      <c r="H4" s="12">
        <v>6.0</v>
      </c>
      <c r="I4" s="17">
        <f t="shared" si="0"/>
        <v>1.0</v>
      </c>
      <c r="J4" s="18"/>
      <c r="K4" s="19"/>
      <c r="L4" s="19"/>
      <c r="M4" s="19"/>
      <c r="R4" s="19"/>
      <c r="S4" s="19"/>
      <c r="T4" s="19"/>
      <c r="U4" s="5"/>
      <c r="V4" s="5"/>
      <c r="W4" s="5"/>
      <c r="X4" s="5"/>
      <c r="Y4" s="5"/>
    </row>
    <row r="5" spans="8:8" ht="22.15" customHeight="1">
      <c r="A5" s="6"/>
      <c r="B5" s="8" t="s">
        <v>10</v>
      </c>
      <c r="C5" s="14">
        <v>100.0</v>
      </c>
      <c r="D5" s="9">
        <f>0.043*C5</f>
        <v>4.3</v>
      </c>
      <c r="E5" s="15"/>
      <c r="F5" s="10" t="s">
        <v>11</v>
      </c>
      <c r="G5" s="16" t="s">
        <v>7</v>
      </c>
      <c r="H5" s="12">
        <v>5.5</v>
      </c>
      <c r="I5" s="10">
        <f t="shared" si="0"/>
        <v>1.0</v>
      </c>
      <c r="J5" s="20"/>
      <c r="K5" s="20"/>
      <c r="L5" s="20"/>
      <c r="M5" s="21"/>
      <c r="R5" s="22"/>
      <c r="S5" s="23"/>
      <c r="T5" s="6"/>
      <c r="U5" s="24"/>
      <c r="V5" s="24"/>
      <c r="W5" s="24"/>
      <c r="X5" s="24"/>
      <c r="Y5" s="24"/>
    </row>
    <row r="6" spans="8:8" ht="22.15" customHeight="1">
      <c r="A6" s="6"/>
      <c r="B6" s="8" t="s">
        <v>12</v>
      </c>
      <c r="C6" s="14">
        <v>100.0</v>
      </c>
      <c r="D6" s="9">
        <f>(C6*0.034)</f>
        <v>3.4000000000000004</v>
      </c>
      <c r="E6" s="15"/>
      <c r="F6" s="10" t="s">
        <v>13</v>
      </c>
      <c r="G6" s="25" t="s">
        <v>14</v>
      </c>
      <c r="H6" s="12">
        <v>4.9</v>
      </c>
      <c r="I6" s="11">
        <f t="shared" si="0"/>
        <v>0.0</v>
      </c>
      <c r="J6" s="20"/>
      <c r="K6" s="20"/>
      <c r="L6" s="20"/>
      <c r="M6" s="21"/>
      <c r="R6" s="21"/>
      <c r="S6" s="21"/>
      <c r="T6" s="6"/>
      <c r="U6" s="24"/>
      <c r="V6" s="24"/>
      <c r="W6" s="24"/>
      <c r="X6" s="24"/>
      <c r="Y6" s="24"/>
    </row>
    <row r="7" spans="8:8" ht="22.15" customHeight="1">
      <c r="A7" s="6"/>
      <c r="B7" s="8" t="s">
        <v>15</v>
      </c>
      <c r="C7" s="14">
        <v>1.0</v>
      </c>
      <c r="D7" s="9">
        <f>C7*0.94</f>
        <v>0.94</v>
      </c>
      <c r="E7" s="15"/>
      <c r="F7" s="10" t="s">
        <v>16</v>
      </c>
      <c r="G7" s="16" t="s">
        <v>7</v>
      </c>
      <c r="H7" s="12">
        <v>5.1</v>
      </c>
      <c r="I7" s="10">
        <f t="shared" si="0"/>
        <v>1.0</v>
      </c>
      <c r="J7" s="21"/>
      <c r="K7" s="21"/>
      <c r="L7" s="21"/>
      <c r="M7" s="21"/>
      <c r="R7" s="21"/>
      <c r="S7" s="21"/>
      <c r="T7" s="6"/>
      <c r="U7" s="6"/>
      <c r="V7" s="6"/>
      <c r="W7" s="6"/>
      <c r="X7" s="6"/>
      <c r="Y7" s="6"/>
    </row>
    <row r="8" spans="8:8" ht="22.15" customHeight="1">
      <c r="A8" s="6"/>
      <c r="B8" s="8" t="s">
        <v>17</v>
      </c>
      <c r="C8" s="14">
        <v>100.0</v>
      </c>
      <c r="D8" s="9">
        <f>C8*0.0149</f>
        <v>1.49</v>
      </c>
      <c r="E8" s="15"/>
      <c r="F8" s="10" t="s">
        <v>18</v>
      </c>
      <c r="G8" s="25" t="s">
        <v>7</v>
      </c>
      <c r="H8" s="12">
        <v>5.25</v>
      </c>
      <c r="I8" s="11">
        <f t="shared" si="0"/>
        <v>1.0</v>
      </c>
      <c r="J8" s="6"/>
      <c r="K8" s="6"/>
      <c r="L8" s="6"/>
      <c r="M8" s="6"/>
      <c r="R8" s="6"/>
      <c r="S8" s="6"/>
      <c r="T8" s="6"/>
      <c r="U8" s="6"/>
      <c r="V8" s="6"/>
      <c r="W8" s="6"/>
      <c r="X8" s="6"/>
      <c r="Y8" s="6"/>
    </row>
    <row r="9" spans="8:8" ht="22.15" customHeight="1">
      <c r="A9" s="6"/>
      <c r="B9" s="8" t="s">
        <v>19</v>
      </c>
      <c r="C9" s="14">
        <v>100.0</v>
      </c>
      <c r="D9" s="9">
        <f>0.043*C9/2</f>
        <v>2.15</v>
      </c>
      <c r="E9" s="15"/>
      <c r="F9" s="10" t="s">
        <v>20</v>
      </c>
      <c r="G9" s="16" t="s">
        <v>14</v>
      </c>
      <c r="H9" s="12">
        <v>4.7</v>
      </c>
      <c r="I9" s="11">
        <f t="shared" si="0"/>
        <v>0.0</v>
      </c>
      <c r="J9" s="6"/>
      <c r="L9" s="26"/>
      <c r="M9" s="26"/>
      <c r="R9" s="26"/>
      <c r="S9" s="26"/>
      <c r="T9" s="6"/>
      <c r="U9" s="6"/>
      <c r="V9" s="6"/>
      <c r="W9" s="6"/>
      <c r="X9" s="6"/>
      <c r="Y9" s="6"/>
    </row>
    <row r="10" spans="8:8" ht="21.0" customHeight="1">
      <c r="A10" s="6"/>
      <c r="B10" s="8" t="s">
        <v>21</v>
      </c>
      <c r="C10" s="14">
        <v>100.0</v>
      </c>
      <c r="D10" s="9">
        <f>0.043*C10/2</f>
        <v>2.15</v>
      </c>
      <c r="E10" s="15"/>
      <c r="F10" s="10" t="s">
        <v>22</v>
      </c>
      <c r="G10" s="16" t="s">
        <v>14</v>
      </c>
      <c r="H10" s="12">
        <v>4.5</v>
      </c>
      <c r="I10" s="11">
        <f t="shared" si="0"/>
        <v>0.0</v>
      </c>
      <c r="J10" s="6"/>
      <c r="K10" s="26"/>
      <c r="L10" s="26"/>
      <c r="M10" s="26"/>
      <c r="R10" s="26"/>
      <c r="S10" s="26"/>
      <c r="T10" s="6"/>
      <c r="U10" s="6"/>
      <c r="V10" s="6"/>
      <c r="W10" s="6"/>
      <c r="X10" s="6"/>
      <c r="Y10" s="6"/>
    </row>
    <row r="11" spans="8:8" ht="22.15" customHeight="1">
      <c r="A11" s="6"/>
      <c r="B11" s="8" t="s">
        <v>23</v>
      </c>
      <c r="C11" s="14">
        <v>100.0</v>
      </c>
      <c r="D11" s="9">
        <f>C11*0.0149*6</f>
        <v>8.94</v>
      </c>
      <c r="E11" s="15"/>
      <c r="F11" s="10" t="s">
        <v>24</v>
      </c>
      <c r="G11" s="16" t="s">
        <v>7</v>
      </c>
      <c r="H11" s="12">
        <v>5.0</v>
      </c>
      <c r="I11" s="11">
        <f t="shared" si="0"/>
        <v>1.0</v>
      </c>
      <c r="J11" s="6"/>
      <c r="K11" s="26"/>
      <c r="L11" s="26"/>
      <c r="M11" s="26"/>
      <c r="R11" s="26"/>
      <c r="S11" s="26"/>
      <c r="T11" s="6"/>
      <c r="U11" s="6"/>
      <c r="V11" s="6"/>
      <c r="W11" s="6"/>
      <c r="X11" s="6"/>
      <c r="Y11" s="6"/>
    </row>
    <row r="12" spans="8:8" ht="22.15" customHeight="1">
      <c r="A12" s="6"/>
      <c r="B12" s="8" t="s">
        <v>25</v>
      </c>
      <c r="C12" s="14">
        <v>100.0</v>
      </c>
      <c r="D12" s="9">
        <f>C12*0.043</f>
        <v>4.3</v>
      </c>
      <c r="E12" s="15"/>
      <c r="F12" s="27" t="s">
        <v>57</v>
      </c>
      <c r="G12" s="16" t="s">
        <v>14</v>
      </c>
      <c r="H12" s="12">
        <v>3.9</v>
      </c>
      <c r="I12" s="11">
        <f t="shared" si="0"/>
        <v>0.0</v>
      </c>
      <c r="J12" s="6"/>
      <c r="K12" s="26"/>
      <c r="L12" s="6"/>
      <c r="M12" s="6"/>
      <c r="R12" s="6"/>
      <c r="S12" s="6"/>
      <c r="T12" s="6"/>
      <c r="U12" s="6"/>
      <c r="V12" s="6"/>
      <c r="W12" s="6"/>
      <c r="X12" s="6"/>
      <c r="Y12" s="6"/>
    </row>
    <row r="13" spans="8:8" ht="22.15" customHeight="1">
      <c r="A13" s="6"/>
      <c r="B13" s="8" t="s">
        <v>26</v>
      </c>
      <c r="C13" s="14">
        <v>100.0</v>
      </c>
      <c r="D13" s="9">
        <f>C13*0.043</f>
        <v>4.3</v>
      </c>
      <c r="E13" s="15"/>
      <c r="F13" s="10" t="s">
        <v>27</v>
      </c>
      <c r="G13" s="16" t="s">
        <v>14</v>
      </c>
      <c r="H13" s="12">
        <v>4.8</v>
      </c>
      <c r="I13" s="11">
        <f t="shared" si="0"/>
        <v>0.0</v>
      </c>
      <c r="J13" s="24"/>
      <c r="K13" s="6"/>
      <c r="L13" s="6"/>
      <c r="M13" s="6"/>
      <c r="R13" s="6"/>
      <c r="S13" s="6"/>
      <c r="T13" s="6"/>
      <c r="U13" s="6"/>
      <c r="V13" s="6"/>
      <c r="W13" s="6"/>
      <c r="X13" s="6"/>
      <c r="Y13" s="6"/>
    </row>
    <row r="14" spans="8:8" ht="22.15" customHeight="1">
      <c r="A14" s="6"/>
      <c r="B14" s="10" t="s">
        <v>28</v>
      </c>
      <c r="C14" s="14">
        <v>1.0</v>
      </c>
      <c r="D14" s="9">
        <f>C14*(1.875+0.1*(5.5+IF(C19=1,7,IF(G8="是",5.25,0))+IF(C16=1,8,IF(G5="是",5.5,0))))</f>
        <v>3.675</v>
      </c>
      <c r="E14" s="15"/>
      <c r="F14" s="10" t="s">
        <v>29</v>
      </c>
      <c r="G14" s="16" t="s">
        <v>14</v>
      </c>
      <c r="H14" s="12">
        <v>4.5</v>
      </c>
      <c r="I14" s="11">
        <f t="shared" si="0"/>
        <v>0.0</v>
      </c>
      <c r="J14" s="26"/>
      <c r="K14" s="6"/>
      <c r="L14" s="6"/>
      <c r="M14" s="6"/>
      <c r="R14" s="6"/>
      <c r="S14" s="6"/>
      <c r="T14" s="6"/>
      <c r="U14" s="6"/>
      <c r="V14" s="6"/>
      <c r="W14" s="6"/>
      <c r="X14" s="6"/>
      <c r="Y14" s="6"/>
    </row>
    <row r="15" spans="8:8" ht="22.15" customHeight="1">
      <c r="A15" s="6"/>
      <c r="B15" s="10" t="s">
        <v>30</v>
      </c>
      <c r="C15" s="14">
        <v>1.0</v>
      </c>
      <c r="D15" s="9">
        <f>C15*3</f>
        <v>3.0</v>
      </c>
      <c r="E15" s="28"/>
      <c r="F15" s="10" t="s">
        <v>31</v>
      </c>
      <c r="G15" s="16" t="s">
        <v>14</v>
      </c>
      <c r="H15" s="12">
        <v>4.5</v>
      </c>
      <c r="I15" s="11">
        <f t="shared" si="0"/>
        <v>0.0</v>
      </c>
      <c r="J15" s="26"/>
      <c r="K15" s="6"/>
      <c r="L15" s="6"/>
      <c r="M15" s="6"/>
      <c r="R15" s="6"/>
      <c r="S15" s="6"/>
      <c r="T15" s="6"/>
      <c r="U15" s="6"/>
      <c r="V15" s="6"/>
      <c r="W15" s="6"/>
      <c r="X15" s="6"/>
      <c r="Y15" s="6"/>
    </row>
    <row r="16" spans="8:8" ht="22.15" customHeight="1">
      <c r="A16" s="6"/>
      <c r="B16" s="10" t="s">
        <v>32</v>
      </c>
      <c r="C16" s="14">
        <v>0.0</v>
      </c>
      <c r="D16" s="9">
        <f>C16*2.46</f>
        <v>0.0</v>
      </c>
      <c r="E16" s="28"/>
      <c r="F16" s="10" t="s">
        <v>33</v>
      </c>
      <c r="G16" s="16" t="s">
        <v>14</v>
      </c>
      <c r="H16" s="12">
        <v>5.0</v>
      </c>
      <c r="I16" s="11">
        <f t="shared" si="0"/>
        <v>0.0</v>
      </c>
      <c r="J16" s="26"/>
      <c r="K16" s="6"/>
      <c r="L16" s="6"/>
      <c r="M16" s="6"/>
      <c r="R16" s="6"/>
      <c r="S16" s="6"/>
      <c r="T16" s="6"/>
      <c r="U16" s="6"/>
      <c r="V16" s="6"/>
      <c r="W16" s="6"/>
      <c r="X16" s="6"/>
      <c r="Y16" s="6"/>
    </row>
    <row r="17" spans="8:8" ht="22.15" customHeight="1">
      <c r="A17" s="6"/>
      <c r="B17" s="10" t="s">
        <v>34</v>
      </c>
      <c r="C17" s="14">
        <v>0.0</v>
      </c>
      <c r="D17" s="9">
        <f>C17*2.2</f>
        <v>0.0</v>
      </c>
      <c r="E17" s="28"/>
      <c r="F17" s="10" t="s">
        <v>35</v>
      </c>
      <c r="G17" s="16" t="s">
        <v>14</v>
      </c>
      <c r="H17" s="12">
        <v>4.5</v>
      </c>
      <c r="I17" s="11">
        <f t="shared" si="0"/>
        <v>0.0</v>
      </c>
      <c r="J17" s="26"/>
      <c r="K17" s="6"/>
      <c r="L17" s="6"/>
      <c r="M17" s="6"/>
      <c r="N17" s="22"/>
      <c r="O17" s="5"/>
      <c r="P17" s="29"/>
      <c r="Q17" s="30"/>
      <c r="R17" s="6"/>
      <c r="S17" s="6"/>
      <c r="T17" s="6"/>
      <c r="U17" s="6"/>
      <c r="V17" s="6"/>
      <c r="W17" s="6"/>
      <c r="X17" s="6"/>
      <c r="Y17" s="6"/>
    </row>
    <row r="18" spans="8:8" ht="22.15" customHeight="1">
      <c r="A18" s="6"/>
      <c r="B18" s="10" t="s">
        <v>36</v>
      </c>
      <c r="C18" s="14">
        <v>0.0</v>
      </c>
      <c r="D18" s="9">
        <f>C18*1.7</f>
        <v>0.0</v>
      </c>
      <c r="E18" s="28"/>
      <c r="J18" s="26"/>
      <c r="K18" s="26"/>
      <c r="L18" s="26"/>
      <c r="M18" s="26"/>
      <c r="N18" s="22"/>
      <c r="O18" s="5"/>
      <c r="P18" s="29"/>
      <c r="Q18" s="30"/>
      <c r="R18" s="26"/>
      <c r="S18" s="26"/>
      <c r="T18" s="6"/>
      <c r="U18" s="6">
        <v>1.0</v>
      </c>
      <c r="V18" s="6"/>
      <c r="W18" s="6"/>
      <c r="X18" s="6"/>
      <c r="Y18" s="6"/>
    </row>
    <row r="19" spans="8:8" ht="22.15" customHeight="1">
      <c r="A19" s="6"/>
      <c r="B19" s="10" t="s">
        <v>37</v>
      </c>
      <c r="C19" s="14">
        <v>1.0</v>
      </c>
      <c r="D19" s="9">
        <f>C19*1.75</f>
        <v>1.75</v>
      </c>
      <c r="E19" s="28"/>
      <c r="F19" s="31" t="s">
        <v>51</v>
      </c>
      <c r="G19" s="6"/>
      <c r="H19" s="26"/>
      <c r="I19" s="26"/>
      <c r="J19" s="26"/>
      <c r="K19" s="26"/>
      <c r="L19" s="26"/>
      <c r="M19" s="26"/>
      <c r="N19" s="32"/>
      <c r="O19" s="5"/>
      <c r="P19" s="29"/>
      <c r="Q19" s="32"/>
      <c r="R19" s="26"/>
      <c r="S19" s="26"/>
      <c r="T19" s="6"/>
      <c r="U19" s="6"/>
      <c r="V19" s="6"/>
      <c r="W19" s="6"/>
      <c r="X19" s="6"/>
      <c r="Y19" s="6"/>
    </row>
    <row r="20" spans="8:8" ht="22.15" customHeight="1">
      <c r="A20" s="6"/>
      <c r="B20" s="10" t="s">
        <v>38</v>
      </c>
      <c r="C20" s="14">
        <v>0.0</v>
      </c>
      <c r="D20" s="9">
        <f>C20*1.6</f>
        <v>0.0</v>
      </c>
      <c r="E20" s="28"/>
      <c r="F20" s="33" t="s">
        <v>39</v>
      </c>
      <c r="G20" s="34"/>
      <c r="H20" s="34"/>
      <c r="I20" s="35"/>
      <c r="J20" s="26"/>
      <c r="K20" s="26"/>
      <c r="L20" s="26"/>
      <c r="M20" s="26"/>
      <c r="N20" s="22"/>
      <c r="O20" s="5"/>
      <c r="P20" s="29"/>
      <c r="Q20" s="22"/>
      <c r="R20" s="26"/>
      <c r="S20" s="26"/>
      <c r="T20" s="6"/>
      <c r="U20" s="6"/>
      <c r="V20" s="6"/>
      <c r="W20" s="6"/>
      <c r="X20" s="6"/>
      <c r="Y20" s="6"/>
    </row>
    <row r="21" spans="8:8" ht="22.15" customHeight="1">
      <c r="A21" s="6"/>
      <c r="B21" s="10" t="s">
        <v>40</v>
      </c>
      <c r="C21" s="14">
        <v>0.0</v>
      </c>
      <c r="D21" s="9">
        <f>C21*1.5</f>
        <v>0.0</v>
      </c>
      <c r="E21" s="28"/>
      <c r="F21" s="36" t="s">
        <v>52</v>
      </c>
      <c r="G21" s="37"/>
      <c r="H21" s="37"/>
      <c r="I21" s="38"/>
      <c r="J21" s="26"/>
      <c r="K21" s="26"/>
      <c r="L21" s="26"/>
      <c r="M21" s="26"/>
      <c r="N21" s="22"/>
      <c r="O21" s="5"/>
      <c r="P21" s="29"/>
      <c r="Q21" s="22"/>
      <c r="R21" s="26"/>
      <c r="S21" s="26"/>
      <c r="T21" s="6"/>
      <c r="U21" s="6"/>
      <c r="V21" s="6"/>
      <c r="W21" s="6"/>
      <c r="X21" s="6"/>
      <c r="Y21" s="6"/>
    </row>
    <row r="22" spans="8:8" ht="22.15" customHeight="1">
      <c r="A22" s="6"/>
      <c r="B22" s="10" t="s">
        <v>41</v>
      </c>
      <c r="C22" s="14">
        <v>0.0</v>
      </c>
      <c r="D22" s="9">
        <f>C22*1.6</f>
        <v>0.0</v>
      </c>
      <c r="E22" s="28"/>
      <c r="F22" s="33" t="s">
        <v>42</v>
      </c>
      <c r="G22" s="34"/>
      <c r="H22" s="34"/>
      <c r="I22" s="35"/>
      <c r="J22" s="26"/>
      <c r="K22" s="26"/>
      <c r="L22" s="26"/>
      <c r="M22" s="26"/>
      <c r="N22" s="22"/>
      <c r="O22" s="5"/>
      <c r="P22" s="29"/>
      <c r="Q22" s="22"/>
      <c r="R22" s="26"/>
      <c r="S22" s="26"/>
      <c r="T22" s="6"/>
      <c r="U22" s="6"/>
      <c r="V22" s="6"/>
      <c r="W22" s="6"/>
      <c r="X22" s="6"/>
      <c r="Y22" s="6"/>
    </row>
    <row r="23" spans="8:8" ht="22.15" customHeight="1">
      <c r="A23" s="6"/>
      <c r="B23" s="27" t="s">
        <v>58</v>
      </c>
      <c r="C23" s="14">
        <v>0.0</v>
      </c>
      <c r="D23" s="9">
        <f>C23*1.3</f>
        <v>0.0</v>
      </c>
      <c r="E23" s="28"/>
      <c r="F23" s="37"/>
      <c r="G23" s="37"/>
      <c r="H23" s="37"/>
      <c r="I23" s="37"/>
      <c r="J23" s="26"/>
      <c r="K23" s="26"/>
      <c r="L23" s="26"/>
      <c r="M23" s="26"/>
      <c r="N23" s="22"/>
      <c r="O23" s="5"/>
      <c r="P23" s="29"/>
      <c r="Q23" s="22"/>
      <c r="R23" s="26"/>
      <c r="S23" s="26"/>
      <c r="T23" s="6"/>
      <c r="U23" s="6"/>
      <c r="V23" s="6"/>
      <c r="W23" s="6"/>
      <c r="X23" s="6"/>
      <c r="Y23" s="6"/>
    </row>
    <row r="24" spans="8:8" ht="22.15" customHeight="1">
      <c r="A24" s="6"/>
      <c r="B24" s="10" t="s">
        <v>43</v>
      </c>
      <c r="C24" s="14">
        <v>0.0</v>
      </c>
      <c r="D24" s="9">
        <f>C24*1.6</f>
        <v>0.0</v>
      </c>
      <c r="E24" s="28"/>
      <c r="F24" s="6"/>
      <c r="G24" s="6"/>
      <c r="H24" s="39"/>
      <c r="I24" s="26"/>
      <c r="J24" s="26"/>
      <c r="K24" s="26"/>
      <c r="L24" s="26"/>
      <c r="M24" s="26"/>
      <c r="N24" s="22"/>
      <c r="O24" s="5"/>
      <c r="P24" s="29"/>
      <c r="Q24" s="22"/>
      <c r="R24" s="26"/>
      <c r="S24" s="26"/>
      <c r="T24" s="6"/>
      <c r="U24" s="6"/>
      <c r="V24" s="6"/>
      <c r="W24" s="6"/>
      <c r="X24" s="6"/>
      <c r="Y24" s="6"/>
    </row>
    <row r="25" spans="8:8" ht="22.15" customHeight="1">
      <c r="A25" s="6"/>
      <c r="B25" s="10" t="s">
        <v>44</v>
      </c>
      <c r="C25" s="14">
        <v>0.0</v>
      </c>
      <c r="D25" s="9">
        <f>C25*1.5</f>
        <v>0.0</v>
      </c>
      <c r="E25" s="28"/>
      <c r="F25" s="26"/>
      <c r="G25" s="26"/>
      <c r="H25" s="26"/>
      <c r="I25" s="26"/>
      <c r="J25" s="26"/>
      <c r="K25" s="26"/>
      <c r="L25" s="26"/>
      <c r="M25" s="40"/>
      <c r="N25" s="22"/>
      <c r="O25" s="5"/>
      <c r="P25" s="29"/>
      <c r="Q25" s="22"/>
      <c r="R25" s="40"/>
      <c r="S25" s="40"/>
      <c r="T25" s="40"/>
      <c r="U25" s="40"/>
      <c r="V25" s="6"/>
      <c r="W25" s="6"/>
      <c r="X25" s="6"/>
      <c r="Y25" s="6"/>
    </row>
    <row r="26" spans="8:8" ht="22.15" customHeight="1">
      <c r="A26" s="6"/>
      <c r="B26" s="10" t="s">
        <v>45</v>
      </c>
      <c r="C26" s="14">
        <v>0.0</v>
      </c>
      <c r="D26" s="9">
        <f>C26*1.5</f>
        <v>0.0</v>
      </c>
      <c r="E26" s="28"/>
      <c r="F26" s="41"/>
      <c r="G26" s="26"/>
      <c r="H26" s="26"/>
      <c r="I26" s="26"/>
      <c r="K26" s="26"/>
      <c r="L26" s="26"/>
      <c r="M26" s="40"/>
      <c r="N26" s="20"/>
      <c r="O26" s="20"/>
      <c r="P26" s="42"/>
      <c r="Q26" s="40"/>
      <c r="R26" s="40"/>
      <c r="S26" s="40"/>
      <c r="T26" s="40"/>
      <c r="U26" s="40"/>
      <c r="V26" s="6"/>
      <c r="W26" s="6"/>
      <c r="X26" s="6"/>
      <c r="Y26" s="6"/>
    </row>
    <row r="27" spans="8:8" ht="22.15" customHeight="1">
      <c r="A27" s="6"/>
      <c r="B27" s="10" t="s">
        <v>46</v>
      </c>
      <c r="C27" s="14">
        <v>0.0</v>
      </c>
      <c r="D27" s="9">
        <f>C27*1.65</f>
        <v>0.0</v>
      </c>
      <c r="E27" s="28"/>
      <c r="F27" s="40"/>
      <c r="G27" s="40"/>
      <c r="H27" s="43" t="s">
        <v>53</v>
      </c>
      <c r="I27" s="41"/>
      <c r="J27" s="41"/>
      <c r="K27" s="26"/>
      <c r="L27" s="26"/>
      <c r="M27" s="40"/>
      <c r="N27" s="20"/>
      <c r="O27" s="20"/>
      <c r="P27" s="42"/>
      <c r="Q27" s="40"/>
      <c r="R27" s="40"/>
      <c r="S27" s="40"/>
      <c r="T27" s="40"/>
      <c r="U27" s="40"/>
      <c r="V27" s="6"/>
      <c r="W27" s="6"/>
      <c r="X27" s="6"/>
      <c r="Y27" s="6"/>
    </row>
    <row r="28" spans="8:8" ht="22.15" customHeight="1">
      <c r="A28" s="6"/>
      <c r="B28" s="8" t="s">
        <v>47</v>
      </c>
      <c r="C28" s="14">
        <v>0.0</v>
      </c>
      <c r="D28" s="9">
        <f>C28*1.3</f>
        <v>0.0</v>
      </c>
      <c r="E28" s="28"/>
      <c r="F28" s="40"/>
      <c r="G28" s="40"/>
      <c r="H28" s="44" t="s">
        <v>54</v>
      </c>
      <c r="I28" s="41"/>
      <c r="J28" s="41"/>
      <c r="K28" s="26"/>
      <c r="L28" s="26"/>
      <c r="M28" s="40"/>
      <c r="N28" s="20"/>
      <c r="O28" s="20"/>
      <c r="P28" s="42"/>
      <c r="Q28" s="40"/>
      <c r="R28" s="40"/>
      <c r="S28" s="40"/>
      <c r="T28" s="40"/>
      <c r="U28" s="40"/>
      <c r="V28" s="6"/>
      <c r="W28" s="6"/>
      <c r="X28" s="6"/>
      <c r="Y28" s="6"/>
    </row>
    <row r="29" spans="8:8" ht="22.15" customHeight="1">
      <c r="A29" s="6"/>
      <c r="B29" s="45" t="s">
        <v>48</v>
      </c>
      <c r="C29" s="46"/>
      <c r="D29" s="9">
        <f>SUM(D3:D28)</f>
        <v>55.40499999999999</v>
      </c>
      <c r="E29" s="28"/>
      <c r="F29" s="40"/>
      <c r="G29" s="40"/>
      <c r="H29" s="47" t="s">
        <v>55</v>
      </c>
      <c r="I29" s="41"/>
      <c r="J29" s="41"/>
      <c r="K29" s="26"/>
      <c r="L29" s="26"/>
      <c r="M29" s="40"/>
      <c r="N29" s="20"/>
      <c r="O29" s="20"/>
      <c r="P29" s="42"/>
      <c r="Q29" s="40"/>
      <c r="R29" s="40"/>
      <c r="S29" s="40"/>
      <c r="T29" s="40"/>
      <c r="U29" s="40"/>
      <c r="V29" s="6"/>
      <c r="W29" s="6"/>
      <c r="X29" s="6"/>
      <c r="Y29" s="6"/>
    </row>
    <row r="30" spans="8:8" ht="22.15" customHeight="1">
      <c r="A30" s="6"/>
      <c r="B30" s="45" t="s">
        <v>49</v>
      </c>
      <c r="C30" s="46"/>
      <c r="D30" s="9">
        <f>(I3*H3+I4*H4+I5*H5+I6*H6+I7*H7+I8*H8+I9*H9+I10*H10+I11*H11+I12*H12+I13*H13+I14*H14+I15*H15+I16*H16+I17*H17)</f>
        <v>33.1</v>
      </c>
      <c r="E30" s="28"/>
      <c r="F30" s="40"/>
      <c r="G30" s="40"/>
      <c r="H30" s="48" t="s">
        <v>56</v>
      </c>
      <c r="I30" s="41"/>
      <c r="J30" s="41"/>
      <c r="K30" s="26"/>
      <c r="L30" s="26"/>
      <c r="M30" s="40"/>
      <c r="N30" s="20"/>
      <c r="O30" s="20"/>
      <c r="P30" s="42"/>
      <c r="Q30" s="40"/>
      <c r="R30" s="40"/>
      <c r="S30" s="40"/>
      <c r="T30" s="40"/>
      <c r="U30" s="40"/>
      <c r="V30" s="6"/>
      <c r="W30" s="6"/>
      <c r="X30" s="6"/>
      <c r="Y30" s="6"/>
    </row>
    <row r="31" spans="8:8" ht="22.9" outlineLevel="1" customHeight="1">
      <c r="A31" s="6"/>
      <c r="B31" s="45" t="s">
        <v>50</v>
      </c>
      <c r="C31" s="46"/>
      <c r="D31" s="9">
        <f>D30+D29</f>
        <v>88.505</v>
      </c>
      <c r="E31" s="49"/>
      <c r="F31" s="40"/>
      <c r="G31" s="40"/>
      <c r="H31" s="40"/>
      <c r="I31" s="40"/>
      <c r="J31" s="40"/>
      <c r="K31" s="26"/>
      <c r="L31" s="26"/>
      <c r="M31" s="40"/>
      <c r="N31" s="50"/>
      <c r="O31" s="40"/>
      <c r="P31" s="51"/>
      <c r="Q31" s="40"/>
      <c r="R31" s="40"/>
      <c r="S31" s="40"/>
      <c r="T31" s="40"/>
      <c r="U31" s="40"/>
      <c r="V31" s="6"/>
      <c r="W31" s="6"/>
      <c r="X31" s="6"/>
      <c r="Y31" s="6"/>
    </row>
    <row r="32" spans="8:8" ht="25.15" outlineLevel="1" customHeight="1">
      <c r="A32" s="6"/>
      <c r="B32" s="19"/>
      <c r="C32" s="19"/>
      <c r="D32" s="52"/>
      <c r="E32" s="49"/>
      <c r="K32" s="26"/>
      <c r="L32" s="26"/>
      <c r="M32" s="40"/>
      <c r="N32" s="50"/>
      <c r="O32" s="40"/>
      <c r="P32" s="51"/>
      <c r="Q32" s="40"/>
      <c r="R32" s="40"/>
      <c r="S32" s="40"/>
      <c r="T32" s="40"/>
      <c r="U32" s="40"/>
      <c r="V32" s="6"/>
      <c r="W32" s="6"/>
      <c r="X32" s="6"/>
      <c r="Y32" s="6"/>
    </row>
    <row r="33" spans="8:8" ht="24.0" outlineLevel="1" customHeight="1">
      <c r="A33" s="6"/>
      <c r="B33" s="19"/>
      <c r="C33" s="19"/>
      <c r="D33" s="52"/>
      <c r="E33" s="49"/>
      <c r="K33" s="40"/>
      <c r="L33" s="40"/>
      <c r="M33" s="40"/>
      <c r="N33" s="50"/>
      <c r="O33" s="40"/>
      <c r="P33" s="51"/>
      <c r="Q33" s="40"/>
      <c r="R33" s="40"/>
      <c r="S33" s="40"/>
      <c r="T33" s="40"/>
      <c r="U33" s="40"/>
      <c r="V33" s="6"/>
      <c r="W33" s="6"/>
      <c r="X33" s="6"/>
      <c r="Y33" s="6"/>
    </row>
    <row r="34" spans="8:8" ht="21.0" outlineLevel="1" customHeight="1">
      <c r="A34" s="6"/>
      <c r="B34" s="19"/>
      <c r="C34" s="19"/>
      <c r="D34" s="52"/>
      <c r="E34" s="49"/>
      <c r="K34" s="40"/>
      <c r="L34" s="40"/>
      <c r="M34" s="40"/>
      <c r="N34" s="50"/>
      <c r="O34" s="40"/>
      <c r="P34" s="51"/>
      <c r="Q34" s="40"/>
      <c r="R34" s="40"/>
      <c r="S34" s="40"/>
      <c r="T34" s="40"/>
      <c r="U34" s="40"/>
      <c r="V34" s="6"/>
      <c r="W34" s="6"/>
      <c r="X34" s="6"/>
      <c r="Y34" s="6"/>
    </row>
    <row r="35" spans="8:8" ht="21.0" outlineLevel="1" customHeight="1">
      <c r="A35" s="6"/>
      <c r="B35" s="19"/>
      <c r="C35" s="19"/>
      <c r="D35" s="52"/>
      <c r="E35" s="49"/>
      <c r="F35" s="40"/>
      <c r="G35" s="40"/>
      <c r="H35" s="40"/>
      <c r="I35" s="40"/>
      <c r="J35" s="40"/>
      <c r="K35" s="40"/>
      <c r="L35" s="40"/>
      <c r="M35" s="40"/>
      <c r="N35" s="50"/>
      <c r="O35" s="40"/>
      <c r="P35" s="51"/>
      <c r="Q35" s="40"/>
      <c r="R35" s="40"/>
      <c r="S35" s="40"/>
      <c r="T35" s="40"/>
      <c r="U35" s="40"/>
      <c r="V35" s="6"/>
      <c r="W35" s="6"/>
      <c r="X35" s="6"/>
      <c r="Y35" s="6"/>
    </row>
    <row r="36" spans="8:8" ht="22.15" outlineLevel="1" customHeight="1">
      <c r="A36" s="6"/>
      <c r="B36" s="19"/>
      <c r="C36" s="19"/>
      <c r="D36" s="52"/>
      <c r="E36" s="49"/>
      <c r="F36" s="40"/>
      <c r="G36" s="40"/>
      <c r="H36" s="40"/>
      <c r="I36" s="40"/>
      <c r="J36" s="40"/>
      <c r="K36" s="40"/>
      <c r="L36" s="40"/>
      <c r="M36" s="40"/>
      <c r="N36" s="50"/>
      <c r="O36" s="40"/>
      <c r="P36" s="51"/>
      <c r="Q36" s="40"/>
      <c r="R36" s="40"/>
      <c r="S36" s="40"/>
      <c r="T36" s="40"/>
      <c r="U36" s="40"/>
      <c r="V36" s="6"/>
      <c r="W36" s="6"/>
      <c r="X36" s="6"/>
      <c r="Y36" s="6"/>
    </row>
    <row r="37" spans="8:8" ht="16.9" customHeight="1">
      <c r="A37" s="6"/>
      <c r="E37" s="49"/>
      <c r="F37" s="40"/>
      <c r="G37" s="40"/>
      <c r="H37" s="40"/>
      <c r="I37" s="40"/>
      <c r="J37" s="40"/>
      <c r="K37" s="40"/>
      <c r="L37" s="40"/>
      <c r="M37" s="40"/>
      <c r="N37" s="50"/>
      <c r="O37" s="40"/>
      <c r="P37" s="51"/>
      <c r="Q37" s="40"/>
      <c r="R37" s="40"/>
      <c r="S37" s="40"/>
      <c r="T37" s="40"/>
      <c r="U37" s="40"/>
      <c r="V37" s="6"/>
      <c r="W37" s="6"/>
      <c r="X37" s="6"/>
      <c r="Y37" s="6"/>
    </row>
    <row r="38" spans="8:8" ht="22.15" customHeight="1">
      <c r="A38" s="6"/>
      <c r="E38" s="49"/>
      <c r="F38" s="40"/>
      <c r="G38" s="40"/>
      <c r="H38" s="26"/>
      <c r="I38" s="40"/>
      <c r="J38" s="40"/>
      <c r="K38" s="40"/>
      <c r="L38" s="40"/>
      <c r="M38" s="40"/>
      <c r="N38" s="50"/>
      <c r="O38" s="40"/>
      <c r="P38" s="51"/>
      <c r="Q38" s="40"/>
      <c r="R38" s="40"/>
      <c r="S38" s="40"/>
      <c r="T38" s="40"/>
      <c r="U38" s="40"/>
      <c r="V38" s="6"/>
      <c r="W38" s="6"/>
      <c r="X38" s="6"/>
      <c r="Y38" s="6"/>
    </row>
    <row r="39" spans="8:8" ht="22.15" customHeight="1">
      <c r="A39" s="6"/>
      <c r="E39" s="49"/>
      <c r="F39" s="40"/>
      <c r="G39" s="40"/>
      <c r="H39" s="40"/>
      <c r="I39" s="40"/>
      <c r="J39" s="40"/>
      <c r="K39" s="40"/>
      <c r="L39" s="40"/>
      <c r="M39" s="40"/>
      <c r="N39" s="50"/>
      <c r="O39" s="40"/>
      <c r="P39" s="51"/>
      <c r="Q39" s="40"/>
      <c r="R39" s="40"/>
      <c r="S39" s="40"/>
      <c r="T39" s="40"/>
      <c r="U39" s="40"/>
      <c r="V39" s="6"/>
      <c r="W39" s="6"/>
      <c r="X39" s="6"/>
      <c r="Y39" s="6"/>
    </row>
    <row r="40" spans="8:8" ht="22.15" customHeight="1">
      <c r="A40" s="6"/>
      <c r="E40" s="49"/>
      <c r="F40" s="40"/>
      <c r="G40" s="40"/>
      <c r="H40" s="40"/>
      <c r="I40" s="40"/>
      <c r="J40" s="40"/>
      <c r="K40" s="40"/>
      <c r="L40" s="40"/>
      <c r="M40" s="40"/>
      <c r="N40" s="50"/>
      <c r="O40" s="40"/>
      <c r="P40" s="51"/>
      <c r="Q40" s="40"/>
      <c r="R40" s="40"/>
      <c r="S40" s="40"/>
      <c r="T40" s="40"/>
      <c r="U40" s="40"/>
      <c r="V40" s="6"/>
      <c r="W40" s="6"/>
      <c r="X40" s="6"/>
      <c r="Y40" s="6"/>
    </row>
    <row r="41" spans="8:8" ht="22.9" customHeight="1"/>
    <row r="76" spans="8:8" s="53" ht="14.25" customFormat="1">
      <c r="D76" s="54"/>
      <c r="E76" s="55"/>
      <c r="G76" s="53" t="e">
        <f ca="1">COUNTIF(#REF!,"=是")</f>
        <v>#VALUE!</v>
      </c>
      <c r="H76" s="53" t="e">
        <f ca="1">COUNTIF(#REF!,"=是")</f>
        <v>#VALUE!</v>
      </c>
      <c r="I76" s="53" t="e">
        <f ca="1">COUNTIF(#REF!,"=是")</f>
        <v>#VALUE!</v>
      </c>
      <c r="J76" s="53">
        <f>COUNTIF(J4,"=是")</f>
        <v>0.0</v>
      </c>
      <c r="K76" s="53">
        <f>COUNTIF(K4,"=是")</f>
        <v>0.0</v>
      </c>
      <c r="L76" s="53">
        <f>COUNTIF(L4,"=是")</f>
        <v>0.0</v>
      </c>
      <c r="N76" s="56"/>
      <c r="P76" s="57"/>
      <c r="S76" s="53">
        <f>COUNTIF(S4,"=是")</f>
        <v>0.0</v>
      </c>
      <c r="T76" s="53">
        <f>COUNTIF(T4,"=否")</f>
        <v>0.0</v>
      </c>
      <c r="V76" s="53">
        <f>COUNTIF(V4,"=是")</f>
        <v>0.0</v>
      </c>
      <c r="W76" s="53">
        <f>COUNTIF(W4,"=是")</f>
        <v>0.0</v>
      </c>
      <c r="X76" s="53">
        <f>COUNTIF(X4,"=是")</f>
        <v>0.0</v>
      </c>
      <c r="Y76" s="53">
        <f>COUNTIF(Y4,"=是")</f>
        <v>0.0</v>
      </c>
    </row>
    <row r="77" spans="8:8" ht="10.9" customHeight="1"/>
    <row r="78" spans="8:8" ht="10.9" customHeight="1"/>
  </sheetData>
  <mergeCells count="3">
    <mergeCell ref="B30:C30"/>
    <mergeCell ref="B29:C29"/>
    <mergeCell ref="B31:C31"/>
  </mergeCells>
  <dataValidations count="5">
    <dataValidation allowBlank="1" type="list" errorStyle="stop" showInputMessage="1" showErrorMessage="1" sqref="G3:G17">
      <formula1>"是,否"</formula1>
    </dataValidation>
    <dataValidation allowBlank="1" type="list" errorStyle="stop" showInputMessage="1" showErrorMessage="1" sqref="S4:T4">
      <formula1>"是,否"</formula1>
    </dataValidation>
    <dataValidation allowBlank="1" type="list" errorStyle="stop" showInputMessage="1" showErrorMessage="1" sqref="V4:Y4">
      <formula1>"是,否"</formula1>
    </dataValidation>
    <dataValidation allowBlank="1" type="list" errorStyle="stop" showInputMessage="1" showErrorMessage="1" sqref="J4:M4">
      <formula1>"是,否"</formula1>
    </dataValidation>
    <dataValidation allowBlank="1" type="list" errorStyle="stop" showInputMessage="1" showErrorMessage="1" sqref="O17:O25">
      <formula1>"是,否"</formula1>
    </dataValidation>
  </dataValidations>
  <pageMargins left="0.699305555555556" right="0.699305555555556" top="0.75" bottom="0.75" header="0.3" footer="0.3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伟诚 汤</cp:lastModifiedBy>
  <dcterms:created xsi:type="dcterms:W3CDTF">2025-03-01T01:00:00Z</dcterms:created>
  <dcterms:modified xsi:type="dcterms:W3CDTF">2026-07-21T06:59:23Z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AIGC">
    <vt:lpwstr>{"Label":"1","ContentProducer":"001191110102MACQD9K64018705","ProduceID":"7626195081627762998-data_volume/files/所有对话/主对话/用户上传/新世界内功计算器_解除密码.xlsx","ReservedCode1":"","ContentPropagator":"001191110102MACQD9K64028705","PropagateID":"828411190449108#1784555926594","ReservedCode2":""}</vt:lpwstr>
  </property>
  <property fmtid="{D5CDD505-2E9C-101B-9397-08002B2CF9AE}" pid="4" name="ICV">
    <vt:lpwstr>F7ABB70BA8494319B80BDDFEE0C686CB_13</vt:lpwstr>
  </property>
  <property fmtid="{D5CDD505-2E9C-101B-9397-08002B2CF9AE}" pid="5" name="KSOProductBuildVer">
    <vt:lpwstr>2052-12.1.0.26895</vt:lpwstr>
  </property>
</Properties>
</file>
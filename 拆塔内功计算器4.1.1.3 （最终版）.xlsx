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workbookProtection workbookAlgorithmName="SHA-512" workbookHashValue="k8s/I/1opKnqxj66dwuxFy/0zStx4o2LL7rDntL42eR2lVDfbMq2FRnRhpKOMuZaaBKaxs3pvTXLUt04MZp1eA==" workbookSaltValue="rVAtEtKL60ljQLPUeSI5bw==" workbookSpinCount="100000" lockStructure="1"/>
  <bookViews>
    <workbookView windowHeight="17205" firstSheet="1" activeTab="1"/>
  </bookViews>
  <sheets>
    <sheet name="4.1.1抗拆内功计算器" sheetId="1" state="hidden" r:id="rId1"/>
    <sheet name="4.1.1.3抗拆内功计算器" sheetId="3" r:id="rId2"/>
    <sheet name="更新说明" sheetId="2" r:id="rId3"/>
    <sheet name="第一套计算" sheetId="4" state="hidden" r:id="rId4"/>
  </sheets>
  <externalReferences>
    <externalReference r:id="rId6"/>
    <externalReference r:id="rId7"/>
  </externalReferences>
  <definedNames>
    <definedName name="攻击">_xlfn.LAMBDA(_xlpm.X,_xlpm.Y,_xlpm.X*第一套计算!$J$2/第一套计算!$E$5)</definedName>
    <definedName name="破防">_xlfn.LAMBDA(_xlpm.X,_xlpm.Y,(第一套计算!$G$2/(第一套计算!$E$6-_xlpm.X+第一套计算!$G$2))/(第一套计算!$G$2/(第一套计算!$E$6+第一套计算!$G$2))-1)</definedName>
    <definedName name="会抗">_xlfn.LAMBDA(_xlpm.X,_xlpm.Y,1-(1-1/(1+EXP(1-(第一套计算!$B$28-_xlpm.X)/第一套计算!$G$18))+1/(1+EXP(1-(第一套计算!$B$28-_xlpm.X)/第一套计算!$G$18))*第一套计算!$E$17)/(1-1/(1+EXP(1-(第一套计算!$B$28)/第一套计算!$G$18))+1/(1+EXP(1-(第一套计算!$B$28)/第一套计算!$G$18))*第一套计算!$E$17))</definedName>
    <definedName name="防御">_xlfn.LAMBDA(_xlpm.X,_xlpm.Y,1-(第一套计算!$G$16/(第一套计算!$B$27+_xlpm.X+第一套计算!$G$16))/(第一套计算!$G$16/(第一套计算!$B$27+第一套计算!$G$16)))</definedName>
    <definedName name="会心">_xlfn.LAMBDA(_xlpm.X,_xlpm.Y,(1-1/(1+EXP(1-(第一套计算!$E$7+_xlpm.X)/第一套计算!$G$3))+1/(1+EXP(1-(第一套计算!$E$7+_xlpm.X)/第一套计算!$G$3))*第一套计算!$B$5)/(1-1/(1+EXP(1-第一套计算!$E$7/第一套计算!$G$3))+1/(1+EXP(1-第一套计算!$E$7/第一套计算!$G$3))*第一套计算!$B$5)-1)</definedName>
    <definedName name="会伤">_xlfn.LAMBDA(_xlpm.X,_xlpm.Y,(1-1/(1+EXP(1-(第一套计算!$E$7)/第一套计算!$G$3))+1/(1+EXP(1-(第一套计算!$E$7)/第一套计算!$G$3))*(第一套计算!$B$5+_xlpm.X))/(1-1/(1+EXP(1-第一套计算!$E$7/第一套计算!$G$3))+1/(1+EXP(1-第一套计算!$E$7/第一套计算!$G$3))*第一套计算!$B$5)-1)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admin</author>
    <author>10051</author>
  </authors>
  <commentList>
    <comment ref="P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已计算土木/金木内功差，放心使用
</t>
        </r>
      </text>
    </comment>
    <comment ref="AA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已计算土木/金木内功差，放心使用
</t>
        </r>
      </text>
    </comment>
    <comment ref="M6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职业切换
对总分影响巨大！</t>
        </r>
      </text>
    </comment>
    <comment ref="C9" authorId="2">
      <text>
        <r>
          <rPr>
            <b/>
            <sz val="9"/>
            <rFont val="宋体"/>
            <charset val="134"/>
          </rPr>
          <t>10051:</t>
        </r>
        <r>
          <rPr>
            <sz val="9"/>
            <rFont val="宋体"/>
            <charset val="134"/>
          </rPr>
          <t xml:space="preserve">
最大攻击+最小攻击
</t>
        </r>
      </text>
    </comment>
    <comment ref="G9" authorId="2">
      <text>
        <r>
          <rPr>
            <b/>
            <sz val="9"/>
            <rFont val="宋体"/>
            <charset val="134"/>
          </rPr>
          <t>10051:</t>
        </r>
        <r>
          <rPr>
            <sz val="9"/>
            <rFont val="宋体"/>
            <charset val="134"/>
          </rPr>
          <t xml:space="preserve">
最大攻击+最小攻击</t>
        </r>
      </text>
    </comment>
    <comment ref="N1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3木周天可自测此处占比填写</t>
        </r>
      </text>
    </comment>
    <comment ref="C14" authorId="2">
      <text>
        <r>
          <rPr>
            <b/>
            <sz val="9"/>
            <rFont val="宋体"/>
            <charset val="134"/>
          </rPr>
          <t>10051:</t>
        </r>
        <r>
          <rPr>
            <sz val="9"/>
            <rFont val="宋体"/>
            <charset val="134"/>
          </rPr>
          <t xml:space="preserve">
根骨+耐力</t>
        </r>
      </text>
    </comment>
    <comment ref="G14" authorId="2">
      <text>
        <r>
          <rPr>
            <b/>
            <sz val="9"/>
            <rFont val="宋体"/>
            <charset val="134"/>
          </rPr>
          <t>10051:</t>
        </r>
        <r>
          <rPr>
            <sz val="9"/>
            <rFont val="宋体"/>
            <charset val="134"/>
          </rPr>
          <t xml:space="preserve">
根骨+耐力
</t>
        </r>
      </text>
    </comment>
    <comment ref="C15" authorId="2">
      <text>
        <r>
          <rPr>
            <b/>
            <sz val="9"/>
            <rFont val="宋体"/>
            <charset val="134"/>
          </rPr>
          <t>10051:</t>
        </r>
        <r>
          <rPr>
            <sz val="9"/>
            <rFont val="宋体"/>
            <charset val="134"/>
          </rPr>
          <t xml:space="preserve">
填具体数值，按内功词条呈现填</t>
        </r>
      </text>
    </comment>
    <comment ref="H15" authorId="2">
      <text>
        <r>
          <rPr>
            <b/>
            <sz val="9"/>
            <rFont val="宋体"/>
            <charset val="134"/>
          </rPr>
          <t>10051:</t>
        </r>
        <r>
          <rPr>
            <sz val="9"/>
            <rFont val="宋体"/>
            <charset val="134"/>
          </rPr>
          <t xml:space="preserve">
填具体数值，按内功词条呈现填
</t>
        </r>
      </text>
    </comment>
    <comment ref="B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dps套用3土4w防。
御铁衣套用肉拆套。
格挡会抗相对接近，气血、气盾、抵御、防御差值较大</t>
        </r>
      </text>
    </comment>
    <comment ref="C2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内外功数值相加填入即可，已做除2处理。实际内功向坦度收益略高一点</t>
        </r>
      </text>
    </comment>
    <comment ref="C2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内外功数值相加填入即可，已做除2处理。实际内功向坦度收益略高一点</t>
        </r>
      </text>
    </comment>
    <comment ref="C2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内外功数值相加填入即可，已做除2处理。实际内功向坦度收益略高一点</t>
        </r>
      </text>
    </comment>
    <comment ref="C2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内外功数值相加填入即可，已做除2处理。实际内功向坦度收益略高一点</t>
        </r>
      </text>
    </comment>
    <comment ref="C2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内外功数值相加填入即可，已做除2处理。实际内功向坦度收益略高一点</t>
        </r>
      </text>
    </comment>
    <comment ref="C26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内外功数值相加填入即可，已做除2处理。实际内功向坦度收益略高一点</t>
        </r>
      </text>
    </comment>
    <comment ref="C2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内外功数值相加填入即可，已做除2处理。实际内功向坦度收益略高一点</t>
        </r>
      </text>
    </comment>
  </commentList>
</comments>
</file>

<file path=xl/comments2.xml><?xml version="1.0" encoding="utf-8"?>
<comments xmlns="http://schemas.openxmlformats.org/spreadsheetml/2006/main">
  <authors>
    <author>admin</author>
    <author>Administrator</author>
  </authors>
  <commentList>
    <comment ref="K4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职业切换
对总分影响不大</t>
        </r>
      </text>
    </comment>
    <comment ref="S2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会自动计算身法</t>
        </r>
      </text>
    </comment>
    <comment ref="O24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会自动计算根骨+耐力</t>
        </r>
      </text>
    </comment>
    <comment ref="S37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会自动计算身法</t>
        </r>
      </text>
    </comment>
    <comment ref="O38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会自动计算根骨+耐力</t>
        </r>
      </text>
    </comment>
    <comment ref="E4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空拆占比*1.1</t>
        </r>
      </text>
    </comment>
    <comment ref="B5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优先携带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<sst xmlns="http://schemas.openxmlformats.org/spreadsheetml/2006/main" count="846" uniqueCount="404">
  <si>
    <r>
      <rPr>
        <sz val="36"/>
        <color theme="1"/>
        <rFont val="微软雅黑"/>
        <charset val="134"/>
      </rPr>
      <t xml:space="preserve">4.1.1进攻团抗拆内功计算器（攻防一体）
</t>
    </r>
    <r>
      <rPr>
        <sz val="20"/>
        <color rgb="FF53B7C3"/>
        <rFont val="微软雅黑"/>
        <charset val="134"/>
      </rPr>
      <t>【只有标蓝区域可填写】【计算器目的是算内功词条提升】</t>
    </r>
    <r>
      <rPr>
        <sz val="20"/>
        <color theme="1"/>
        <rFont val="微软雅黑"/>
        <charset val="134"/>
      </rPr>
      <t xml:space="preserve">
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36"/>
        <color theme="1"/>
        <rFont val="微软雅黑"/>
        <charset val="134"/>
      </rPr>
      <t xml:space="preserve">                                                                                                                                               </t>
    </r>
  </si>
  <si>
    <t>抗拆总分</t>
  </si>
  <si>
    <t>评价</t>
  </si>
  <si>
    <t>空拆总分</t>
  </si>
  <si>
    <t>第一套评分</t>
  </si>
  <si>
    <t>祝福
【偷拆不会被逮捕】</t>
  </si>
  <si>
    <t>表格作者：满天丶星河
公式参考：折字
表格优化：休寒</t>
  </si>
  <si>
    <t>第二套评分</t>
  </si>
  <si>
    <t>祝福
【抗拆不会乱循环】</t>
  </si>
  <si>
    <t>第一套（标蓝区域填内功词条）</t>
  </si>
  <si>
    <t>第二套（默认试用基准内功）</t>
  </si>
  <si>
    <t>职业
必填</t>
  </si>
  <si>
    <t>职业</t>
  </si>
  <si>
    <t>输出属性满数值</t>
  </si>
  <si>
    <t>坦度属性满数值</t>
  </si>
  <si>
    <t>更新记录/数值说明</t>
  </si>
  <si>
    <t>攻击类型</t>
  </si>
  <si>
    <t>数值</t>
  </si>
  <si>
    <t>收益</t>
  </si>
  <si>
    <t>总评分</t>
  </si>
  <si>
    <t>词条类型</t>
  </si>
  <si>
    <t>评分</t>
  </si>
  <si>
    <t>差值对比</t>
  </si>
  <si>
    <t>狂澜</t>
  </si>
  <si>
    <t>攻击</t>
  </si>
  <si>
    <t>基础配置</t>
  </si>
  <si>
    <t>根骨</t>
  </si>
  <si>
    <t>力量/气海</t>
  </si>
  <si>
    <t>金周天</t>
  </si>
  <si>
    <t>3金</t>
  </si>
  <si>
    <t>3木不影响词条计算，故不参与配置。火周天稀释内功及词条，不要纠结火周天多了会减分的问题。火、木周天实战不好量化收益，也不适合参与评分计算</t>
  </si>
  <si>
    <t>耐力</t>
  </si>
  <si>
    <t>1力量＝2.5攻击+1破防</t>
  </si>
  <si>
    <t>最大+最小攻</t>
  </si>
  <si>
    <t>火周天</t>
  </si>
  <si>
    <t>3火</t>
  </si>
  <si>
    <t>最大/小攻</t>
  </si>
  <si>
    <t>内/外功防御</t>
  </si>
  <si>
    <t>1身法＝6会心+2会抗</t>
  </si>
  <si>
    <t>破防</t>
  </si>
  <si>
    <t>承影追击</t>
  </si>
  <si>
    <t>防御</t>
  </si>
  <si>
    <t>1根骨=1攻击+74气血</t>
  </si>
  <si>
    <t>流派克制%</t>
  </si>
  <si>
    <t>承影共鸣</t>
  </si>
  <si>
    <t>流派抵御%</t>
  </si>
  <si>
    <t>1耐力=1攻击+2.75防御</t>
  </si>
  <si>
    <t>会心</t>
  </si>
  <si>
    <t>绝技</t>
  </si>
  <si>
    <t>抗会心</t>
  </si>
  <si>
    <t>身法</t>
  </si>
  <si>
    <t>内功特效</t>
  </si>
  <si>
    <t>内功增伤计算</t>
  </si>
  <si>
    <t>根骨+耐力</t>
  </si>
  <si>
    <t>内功特效参考</t>
  </si>
  <si>
    <t>根骨/耐力</t>
  </si>
  <si>
    <t>抗内/外功会心</t>
  </si>
  <si>
    <t>面板增伤</t>
  </si>
  <si>
    <t>赛年强化</t>
  </si>
  <si>
    <t>气血</t>
  </si>
  <si>
    <t>入战增伤</t>
  </si>
  <si>
    <t>输出总收益</t>
  </si>
  <si>
    <t>均值收益</t>
  </si>
  <si>
    <t>总增伤</t>
  </si>
  <si>
    <t>坦度词条（标蓝区域填内功词条）</t>
  </si>
  <si>
    <t>坦度词条</t>
  </si>
  <si>
    <t>第一套内功</t>
  </si>
  <si>
    <t>分数</t>
  </si>
  <si>
    <t>第二套内功</t>
  </si>
  <si>
    <t>稀有内功</t>
  </si>
  <si>
    <t>是否灵韵</t>
  </si>
  <si>
    <t>灵韵分数</t>
  </si>
  <si>
    <t>灼星贯日</t>
  </si>
  <si>
    <t>普通</t>
  </si>
  <si>
    <t>内+外功防御</t>
  </si>
  <si>
    <t>承影锋烁</t>
  </si>
  <si>
    <t>绝电惊沙</t>
  </si>
  <si>
    <t>基础伤害</t>
  </si>
  <si>
    <t>a</t>
  </si>
  <si>
    <t>5.5%a</t>
  </si>
  <si>
    <t>普通内功</t>
  </si>
  <si>
    <t>局内平均减伤</t>
  </si>
  <si>
    <t>众妙</t>
  </si>
  <si>
    <t>局内士气</t>
  </si>
  <si>
    <t>40%增伤</t>
  </si>
  <si>
    <t>锻寒芒</t>
  </si>
  <si>
    <t>局内实际伤害</t>
  </si>
  <si>
    <t>0.7a</t>
  </si>
  <si>
    <t>抗内+外功会心</t>
  </si>
  <si>
    <t>五蕴谣</t>
  </si>
  <si>
    <t>楚狂歌</t>
  </si>
  <si>
    <t>坦度总收益(已折算输出）</t>
  </si>
  <si>
    <t>计数</t>
  </si>
  <si>
    <t>总分</t>
  </si>
  <si>
    <t>1根骨＝1攻击+74气血</t>
  </si>
  <si>
    <t>1耐力＝1攻击+2.75防御</t>
  </si>
  <si>
    <t>联赛内禁疗严重，即便有奶也有防暴毙收益</t>
  </si>
  <si>
    <t>气血按理论的0.9倍坦度计算</t>
  </si>
  <si>
    <t>气血内功基础12504，额外气血才算收益，计算过程已自动减去基础血量</t>
  </si>
  <si>
    <t>额外攻击%，血河特6%，神相特5%，碎梦特2%</t>
  </si>
  <si>
    <t>词条数量</t>
  </si>
  <si>
    <t>坦度1.5%=输出1%收益折算</t>
  </si>
  <si>
    <t>100分＝1%输出收益</t>
  </si>
  <si>
    <t>抗拆</t>
  </si>
  <si>
    <t>无内功</t>
  </si>
  <si>
    <r>
      <rPr>
        <sz val="18"/>
        <rFont val="微软雅黑"/>
        <charset val="134"/>
      </rPr>
      <t>不如试用内功的东西，</t>
    </r>
    <r>
      <rPr>
        <sz val="18"/>
        <color rgb="FF00B0F0"/>
        <rFont val="微软雅黑"/>
        <charset val="134"/>
      </rPr>
      <t>疑似伪人</t>
    </r>
  </si>
  <si>
    <t>多数账号约3.5-4.5词条之间
均5词条以上便算大号
均6词条以上凤毛麟角</t>
  </si>
  <si>
    <t>试用</t>
  </si>
  <si>
    <t>盼之吧没开玩笑</t>
  </si>
  <si>
    <r>
      <rPr>
        <sz val="18"/>
        <rFont val="微软雅黑"/>
        <charset val="134"/>
      </rPr>
      <t>均3输出+1.5坦度词条，</t>
    </r>
    <r>
      <rPr>
        <sz val="18"/>
        <color rgb="FFFF0000"/>
        <rFont val="微软雅黑"/>
        <charset val="134"/>
      </rPr>
      <t>可担饮水机大任</t>
    </r>
  </si>
  <si>
    <t>3.2词条</t>
  </si>
  <si>
    <t>饮水机管理员</t>
  </si>
  <si>
    <r>
      <rPr>
        <sz val="18"/>
        <rFont val="微软雅黑"/>
        <charset val="134"/>
      </rPr>
      <t>均3输出+2坦度词条，</t>
    </r>
    <r>
      <rPr>
        <sz val="18"/>
        <color rgb="FFFF0000"/>
        <rFont val="微软雅黑"/>
        <charset val="134"/>
      </rPr>
      <t>塔已有取死之道</t>
    </r>
  </si>
  <si>
    <t>3.5词条</t>
  </si>
  <si>
    <t>合格塔兵</t>
  </si>
  <si>
    <r>
      <rPr>
        <sz val="18"/>
        <rFont val="微软雅黑"/>
        <charset val="134"/>
      </rPr>
      <t>均4输出+1.5坦度词条，</t>
    </r>
    <r>
      <rPr>
        <sz val="18"/>
        <color rgb="FFFF0000"/>
        <rFont val="微软雅黑"/>
        <charset val="134"/>
      </rPr>
      <t>拆之巅、傲世间</t>
    </r>
  </si>
  <si>
    <t>4.5词条</t>
  </si>
  <si>
    <t>拆之巅、傲世间</t>
  </si>
  <si>
    <r>
      <rPr>
        <sz val="18"/>
        <rFont val="微软雅黑"/>
        <charset val="134"/>
      </rPr>
      <t>均4.5输出+1.5坦度词条，</t>
    </r>
    <r>
      <rPr>
        <sz val="18"/>
        <color rgb="FFFF0000"/>
        <rFont val="微软雅黑"/>
        <charset val="134"/>
      </rPr>
      <t>手握日月拆星辰</t>
    </r>
  </si>
  <si>
    <t>5.5词条</t>
  </si>
  <si>
    <t>手握日月拆星辰</t>
  </si>
  <si>
    <r>
      <rPr>
        <sz val="18"/>
        <rFont val="微软雅黑"/>
        <charset val="134"/>
      </rPr>
      <t>均5.5输出+1坦度词条，</t>
    </r>
    <r>
      <rPr>
        <sz val="18"/>
        <color rgb="FFFF0000"/>
        <rFont val="微软雅黑"/>
        <charset val="134"/>
      </rPr>
      <t>世间无我这般人</t>
    </r>
  </si>
  <si>
    <t>6词条</t>
  </si>
  <si>
    <t>世间无我这般人</t>
  </si>
  <si>
    <r>
      <rPr>
        <sz val="18"/>
        <rFont val="微软雅黑"/>
        <charset val="134"/>
      </rPr>
      <t>自定义内功，</t>
    </r>
    <r>
      <rPr>
        <sz val="18"/>
        <color rgb="FFFF0000"/>
        <rFont val="微软雅黑"/>
        <charset val="134"/>
      </rPr>
      <t>拆道万古如长夜</t>
    </r>
  </si>
  <si>
    <t>6.5词条</t>
  </si>
  <si>
    <t>拆道万古如长夜</t>
  </si>
  <si>
    <t>试用内功：6126分（约2.2攻+1坦度收益，均3.2）</t>
  </si>
  <si>
    <t>空拆</t>
  </si>
  <si>
    <t>多数账号约6k1-6k8之间
5k8以上便算大号
6k1以上凤毛麟角</t>
  </si>
  <si>
    <t>试用内功：5155分（约2.2攻+1坦度收益，均3.2）</t>
  </si>
  <si>
    <r>
      <rPr>
        <sz val="36"/>
        <color theme="1"/>
        <rFont val="微软雅黑"/>
        <charset val="134"/>
      </rPr>
      <t xml:space="preserve">4.1.1版本进攻团内功计算器（仅做参考）
                                                                                                                                      </t>
    </r>
    <r>
      <rPr>
        <sz val="20"/>
        <color theme="1"/>
        <rFont val="微软雅黑"/>
        <charset val="134"/>
      </rPr>
      <t xml:space="preserve">
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36"/>
        <color theme="1"/>
        <rFont val="微软雅黑"/>
        <charset val="134"/>
      </rPr>
      <t xml:space="preserve">                                                                                                                                               </t>
    </r>
  </si>
  <si>
    <t xml:space="preserve">                                                                                                                                                                    表格作者：满天丶星河         公式套用：折字为安        表格优化：休寒</t>
  </si>
  <si>
    <t>第1套内功</t>
  </si>
  <si>
    <t>第2套内功</t>
  </si>
  <si>
    <t>4.1.1版本词条满数值收益概念一览</t>
  </si>
  <si>
    <t>职业选择</t>
  </si>
  <si>
    <t>战斗时长</t>
  </si>
  <si>
    <t>抗拆内功评分区间表述一览</t>
  </si>
  <si>
    <t>增伤</t>
  </si>
  <si>
    <t>占比</t>
  </si>
  <si>
    <t>攻击系数</t>
  </si>
  <si>
    <t>破防系数</t>
  </si>
  <si>
    <t>会心系数</t>
  </si>
  <si>
    <t>攻击
均值收益</t>
  </si>
  <si>
    <t>防守
均值收益</t>
  </si>
  <si>
    <t>潮光</t>
  </si>
  <si>
    <t>士气</t>
  </si>
  <si>
    <t>不如试用，疑似伪人</t>
  </si>
  <si>
    <t>试用金火内功
抗拆7k4分
空拆6k9分</t>
  </si>
  <si>
    <t>龙吟</t>
  </si>
  <si>
    <t>标红为更高、标绿为更低</t>
  </si>
  <si>
    <t>&gt;均3.1词条</t>
  </si>
  <si>
    <t>&gt;均2.4词条</t>
  </si>
  <si>
    <t>可担饮水机大任</t>
  </si>
  <si>
    <t>4词条</t>
  </si>
  <si>
    <t>抗拆评级</t>
  </si>
  <si>
    <t>内功</t>
  </si>
  <si>
    <t>周天</t>
  </si>
  <si>
    <t>输出词条</t>
  </si>
  <si>
    <t>灵韵词条</t>
  </si>
  <si>
    <t>&gt;均4词条</t>
  </si>
  <si>
    <t>塔已有取死之道</t>
  </si>
  <si>
    <t>日月两仪</t>
  </si>
  <si>
    <t>惊鸿</t>
  </si>
  <si>
    <t>&gt;均5词条</t>
  </si>
  <si>
    <t>5词条</t>
  </si>
  <si>
    <t>2火</t>
  </si>
  <si>
    <t>1火</t>
  </si>
  <si>
    <t>&gt;均5.5词条</t>
  </si>
  <si>
    <t>九灵</t>
  </si>
  <si>
    <t>&gt;均6词条</t>
  </si>
  <si>
    <t>血河</t>
  </si>
  <si>
    <t>空拆评级</t>
  </si>
  <si>
    <t>&gt;均6.5词条</t>
  </si>
  <si>
    <t>破釜</t>
  </si>
  <si>
    <t>玄机</t>
  </si>
  <si>
    <t>增伤数值</t>
  </si>
  <si>
    <t>/</t>
  </si>
  <si>
    <t>试用内功：抗拆7410（约2.4攻+0.76坦度收益，均3.2收益）空拆6884（约2.4攻收益）</t>
  </si>
  <si>
    <t>击衰</t>
  </si>
  <si>
    <t>神相</t>
  </si>
  <si>
    <t>抗拆
权重</t>
  </si>
  <si>
    <t>输出</t>
  </si>
  <si>
    <t>坦度</t>
  </si>
  <si>
    <t>贯山月</t>
  </si>
  <si>
    <t>碎梦</t>
  </si>
  <si>
    <t>2金</t>
  </si>
  <si>
    <t>1金</t>
  </si>
  <si>
    <t>惊羽</t>
  </si>
  <si>
    <t>破铁</t>
  </si>
  <si>
    <t>试用内功词条</t>
  </si>
  <si>
    <t>御铁</t>
  </si>
  <si>
    <t>会伤</t>
  </si>
  <si>
    <t>第一套周天选择</t>
  </si>
  <si>
    <t>特效占比计算</t>
  </si>
  <si>
    <t>第一套内功及词条搭配区</t>
  </si>
  <si>
    <t>镇海</t>
  </si>
  <si>
    <t>实际增伤</t>
  </si>
  <si>
    <t>稀有内功选择区</t>
  </si>
  <si>
    <t>攻击词条</t>
  </si>
  <si>
    <t>数值填写</t>
  </si>
  <si>
    <t>防御词条</t>
  </si>
  <si>
    <t>破重云</t>
  </si>
  <si>
    <t>天问</t>
  </si>
  <si>
    <t>3土</t>
  </si>
  <si>
    <t>2土</t>
  </si>
  <si>
    <t>1土</t>
  </si>
  <si>
    <t>减伤取值</t>
  </si>
  <si>
    <t>最大攻击</t>
  </si>
  <si>
    <t>灵韵</t>
  </si>
  <si>
    <t>凌穹</t>
  </si>
  <si>
    <t>60%血</t>
  </si>
  <si>
    <t>内功防御</t>
  </si>
  <si>
    <t>木周天</t>
  </si>
  <si>
    <t>无</t>
  </si>
  <si>
    <t>沧浪行</t>
  </si>
  <si>
    <t>减伤</t>
  </si>
  <si>
    <t>4层减伤</t>
  </si>
  <si>
    <t>外功防御</t>
  </si>
  <si>
    <t>土周天</t>
  </si>
  <si>
    <t>裁锋</t>
  </si>
  <si>
    <t>抗外会心</t>
  </si>
  <si>
    <t>普通内功选择区</t>
  </si>
  <si>
    <t>抗内会心</t>
  </si>
  <si>
    <t>绝技占比</t>
  </si>
  <si>
    <t>纳百观</t>
  </si>
  <si>
    <t>斩精</t>
  </si>
  <si>
    <t>试用内功特效</t>
  </si>
  <si>
    <t>灵韵合计</t>
  </si>
  <si>
    <t>内功总分</t>
  </si>
  <si>
    <t>灵韵总分</t>
  </si>
  <si>
    <t>固垒</t>
  </si>
  <si>
    <t>焚刃</t>
  </si>
  <si>
    <t>总特效</t>
  </si>
  <si>
    <t>默认+3水</t>
  </si>
  <si>
    <t>攻击词条总收益</t>
  </si>
  <si>
    <t>防御词条总收益</t>
  </si>
  <si>
    <t>第二套周天选择</t>
  </si>
  <si>
    <t>第二套内功及词条搭配区（不建议跨周天对比）</t>
  </si>
  <si>
    <t>御千障</t>
  </si>
  <si>
    <t>覆沙阙</t>
  </si>
  <si>
    <t>征袍</t>
  </si>
  <si>
    <t>武蕴灵窍</t>
  </si>
  <si>
    <t>伤害占比类</t>
  </si>
  <si>
    <t>空拆占比</t>
  </si>
  <si>
    <t>抗拆占比</t>
  </si>
  <si>
    <t>备注</t>
  </si>
  <si>
    <t>实际期望</t>
  </si>
  <si>
    <t>怒浪惊涛
（纯对单）</t>
  </si>
  <si>
    <t>有</t>
  </si>
  <si>
    <t>1高</t>
  </si>
  <si>
    <t>外塔</t>
  </si>
  <si>
    <t>大龙/掉3高</t>
  </si>
  <si>
    <t>拔剑逐芒
（纯对单）</t>
  </si>
  <si>
    <t>低压抗/空拆</t>
  </si>
  <si>
    <t>炎光灼世
（对群）</t>
  </si>
  <si>
    <t>震龙渊
（对群）</t>
  </si>
  <si>
    <t>空拆回怒衣</t>
  </si>
  <si>
    <t>空拆无回怒衣</t>
  </si>
  <si>
    <t>抗拆回怒衣</t>
  </si>
  <si>
    <t>抗拆岳飞回怒衣</t>
  </si>
  <si>
    <t>增伤类</t>
  </si>
  <si>
    <t>增伤数值1</t>
  </si>
  <si>
    <t>增伤数值2</t>
  </si>
  <si>
    <t>巡影无锋</t>
  </si>
  <si>
    <t>一塔期望</t>
  </si>
  <si>
    <t>均值/二塔</t>
  </si>
  <si>
    <t>高地期望</t>
  </si>
  <si>
    <t>溯雪凌霜</t>
  </si>
  <si>
    <t>满血塔</t>
  </si>
  <si>
    <t>半血塔</t>
  </si>
  <si>
    <t>百战魂</t>
  </si>
  <si>
    <t>有回怒衣</t>
  </si>
  <si>
    <t>无回怒衣</t>
  </si>
  <si>
    <t>流光刃</t>
  </si>
  <si>
    <t>消耗武蕴点</t>
  </si>
  <si>
    <t>时间</t>
  </si>
  <si>
    <t>版本号</t>
  </si>
  <si>
    <t>更新说明</t>
  </si>
  <si>
    <t>2026.7.6</t>
  </si>
  <si>
    <t>4.1.1.1</t>
  </si>
  <si>
    <r>
      <rPr>
        <sz val="11"/>
        <color theme="1"/>
        <rFont val="宋体"/>
        <charset val="134"/>
        <scheme val="minor"/>
      </rPr>
      <t>4.1.1版本，制作初版</t>
    </r>
    <r>
      <rPr>
        <sz val="11"/>
        <color rgb="FF00B0F0"/>
        <rFont val="宋体"/>
        <charset val="134"/>
        <scheme val="minor"/>
      </rPr>
      <t>拆塔内功计算器</t>
    </r>
  </si>
  <si>
    <t>4.1.1.2</t>
  </si>
  <si>
    <t>1.修复锻寒芒灵韵自加bug</t>
  </si>
  <si>
    <t>2.修复第二套内功变动会影响基准评分的bug</t>
  </si>
  <si>
    <t>3.修复坦度词条没有抗会心的bug</t>
  </si>
  <si>
    <t>4.五蕴谣额外赋值240分。仅挂1金相对稳定，1火收益高但不稳定，1木收益看具体实战</t>
  </si>
  <si>
    <t>2026.7.18</t>
  </si>
  <si>
    <t>4.1.1.3</t>
  </si>
  <si>
    <t>1.以171套基础重新确定收益</t>
  </si>
  <si>
    <t>2.优化版面</t>
  </si>
  <si>
    <t>3.加入了周天计算，其中木周天量化仅作参考</t>
  </si>
  <si>
    <t>4.修复职业区分</t>
  </si>
  <si>
    <t>5.修复火周天选无时乱码</t>
  </si>
  <si>
    <t>6.单独计算两套内功的收益，使不同内功、周天间对比计算更符合收益（仅作参考，主要是木周天太讷了）</t>
  </si>
  <si>
    <t>7.额外增加武蕴灵窍计算（仅作参考）</t>
  </si>
  <si>
    <t>拆塔面板</t>
  </si>
  <si>
    <t>裸面板</t>
  </si>
  <si>
    <t>哨塔属性</t>
  </si>
  <si>
    <t>buff整理</t>
  </si>
  <si>
    <t>最终攻击</t>
  </si>
  <si>
    <t>防御系数</t>
  </si>
  <si>
    <t>百分比攻击</t>
  </si>
  <si>
    <t>额外攻击</t>
  </si>
  <si>
    <t>会心会伤</t>
  </si>
  <si>
    <t>内功增伤</t>
  </si>
  <si>
    <t>武蕴增伤</t>
  </si>
  <si>
    <t>装备增伤</t>
  </si>
  <si>
    <t>最终破防</t>
  </si>
  <si>
    <t>会抗</t>
  </si>
  <si>
    <t>面板%</t>
  </si>
  <si>
    <t>意贯天虹</t>
  </si>
  <si>
    <t>百分比%（塔）</t>
  </si>
  <si>
    <t>最终会心</t>
  </si>
  <si>
    <t>抵御</t>
  </si>
  <si>
    <t>169公孙情</t>
  </si>
  <si>
    <t>凛夜飒雪</t>
  </si>
  <si>
    <t>狂澜qte</t>
  </si>
  <si>
    <t>%会伤</t>
  </si>
  <si>
    <t>武蕴点</t>
  </si>
  <si>
    <t>最终会伤</t>
  </si>
  <si>
    <t>最终攻克</t>
  </si>
  <si>
    <t>套装</t>
  </si>
  <si>
    <t>花萦凌波</t>
  </si>
  <si>
    <t>龙吟特质</t>
  </si>
  <si>
    <t>%会心</t>
  </si>
  <si>
    <t>韩飞瑛</t>
  </si>
  <si>
    <t>流派克制</t>
  </si>
  <si>
    <t>剩余防御（塔）</t>
  </si>
  <si>
    <t>血河特质</t>
  </si>
  <si>
    <t>武蕴*拭剑逐芒</t>
  </si>
  <si>
    <t>剩余会心（塔）</t>
  </si>
  <si>
    <t>雪绒·衔叶铃</t>
  </si>
  <si>
    <t>最终会心率</t>
  </si>
  <si>
    <t>鸿音buff</t>
  </si>
  <si>
    <t>最终破防率</t>
  </si>
  <si>
    <t>入战%</t>
  </si>
  <si>
    <t>素问buff</t>
  </si>
  <si>
    <t>额外固定破防</t>
  </si>
  <si>
    <t>额外固定会心</t>
  </si>
  <si>
    <t>其他增伤</t>
  </si>
  <si>
    <t>鲸落</t>
  </si>
  <si>
    <t>额外克制</t>
  </si>
  <si>
    <t>虞姬·美人花</t>
  </si>
  <si>
    <t>清剑鸣篁·裁</t>
  </si>
  <si>
    <t>水周天</t>
  </si>
  <si>
    <t>技能增伤</t>
  </si>
  <si>
    <t>云阔</t>
  </si>
  <si>
    <t>队友*血河</t>
  </si>
  <si>
    <t>队友*龙吟</t>
  </si>
  <si>
    <t>清风华莚</t>
  </si>
  <si>
    <t>t职减防（塔）</t>
  </si>
  <si>
    <t>队友*碎梦</t>
  </si>
  <si>
    <t>沉浪</t>
  </si>
  <si>
    <t>受击方面板</t>
  </si>
  <si>
    <t>攻击方</t>
  </si>
  <si>
    <t>水月吟</t>
  </si>
  <si>
    <t>队友*潮光</t>
  </si>
  <si>
    <t>最终气血</t>
  </si>
  <si>
    <t>奶妈*承影</t>
  </si>
  <si>
    <t>苍峦惊羽</t>
  </si>
  <si>
    <t>最终会抗</t>
  </si>
  <si>
    <t>会心防御</t>
  </si>
  <si>
    <t>最终会心伤害</t>
  </si>
  <si>
    <t>流派抵御</t>
  </si>
  <si>
    <t>最终流派克制</t>
  </si>
  <si>
    <t>额外会伤</t>
  </si>
  <si>
    <t>内功减伤</t>
  </si>
  <si>
    <t>最终内功加伤</t>
  </si>
  <si>
    <t>武蕴减伤</t>
  </si>
  <si>
    <t>最终武蕴加伤</t>
  </si>
  <si>
    <t>心眼</t>
  </si>
  <si>
    <t>装备减伤</t>
  </si>
  <si>
    <t>最终装备加伤</t>
  </si>
  <si>
    <t>其他减伤</t>
  </si>
  <si>
    <t>其他加伤</t>
  </si>
  <si>
    <t>%流派抵御</t>
  </si>
  <si>
    <t>%流派克制</t>
  </si>
  <si>
    <t>技能减免</t>
  </si>
  <si>
    <t>技能增强</t>
  </si>
  <si>
    <t>会心增伤</t>
  </si>
  <si>
    <t>（1-会心率+会心率*会伤）/（1-会心率+会心率*会伤）-1</t>
  </si>
  <si>
    <t>%攻击</t>
  </si>
  <si>
    <t>剩余防御人</t>
  </si>
  <si>
    <t>剩余会心人</t>
  </si>
  <si>
    <t>破防公式</t>
  </si>
  <si>
    <t>系数/（剩余防御+系数）</t>
  </si>
  <si>
    <t>原会心率</t>
  </si>
  <si>
    <t>会心公式</t>
  </si>
  <si>
    <t>1/（1+exp（1-剩余会心/系数）</t>
  </si>
  <si>
    <t>新会心率</t>
  </si>
  <si>
    <t>内功词条</t>
  </si>
  <si>
    <t>拆塔词条</t>
  </si>
  <si>
    <t>预设21</t>
  </si>
  <si>
    <t>防守词条</t>
  </si>
  <si>
    <t>预设24</t>
  </si>
  <si>
    <t>原会心增伤</t>
  </si>
  <si>
    <t>新会心增伤</t>
  </si>
  <si>
    <t>力量</t>
  </si>
  <si>
    <t>(1-1/(1+EXP(1-(E7+G11)/G3))+1/(1+EXP(1-(E7+G11)/G3))*B5)/(1-1/(1+EXP(1-E7/G3))+1/(1+EXP(1-E7/G3))*B5)-1</t>
  </si>
  <si>
    <t>大小攻</t>
  </si>
  <si>
    <t>内外防御</t>
  </si>
  <si>
    <t>内外抗会心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</si>
</sst>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%"/>
  </numFmts>
  <fonts count="73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1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36"/>
      <color theme="1"/>
      <name val="微软雅黑"/>
      <charset val="134"/>
    </font>
    <font>
      <sz val="18"/>
      <color rgb="FFFF0000"/>
      <name val="微软雅黑"/>
      <charset val="134"/>
    </font>
    <font>
      <sz val="11"/>
      <color theme="1"/>
      <name val="微软雅黑"/>
      <charset val="134"/>
    </font>
    <font>
      <b/>
      <sz val="18"/>
      <color rgb="FF000000"/>
      <name val="微软雅黑"/>
      <charset val="134"/>
    </font>
    <font>
      <sz val="12"/>
      <name val="微软雅黑"/>
      <charset val="134"/>
    </font>
    <font>
      <sz val="12"/>
      <color rgb="FF000000"/>
      <name val="微软雅黑"/>
      <charset val="134"/>
    </font>
    <font>
      <sz val="12"/>
      <color theme="1"/>
      <name val="微软雅黑"/>
      <charset val="134"/>
    </font>
    <font>
      <sz val="18"/>
      <color theme="1"/>
      <name val="微软雅黑"/>
      <charset val="134"/>
    </font>
    <font>
      <sz val="14"/>
      <name val="微软雅黑"/>
      <charset val="134"/>
    </font>
    <font>
      <b/>
      <sz val="20"/>
      <color theme="4"/>
      <name val="微软雅黑"/>
      <charset val="134"/>
    </font>
    <font>
      <b/>
      <sz val="14"/>
      <color theme="4"/>
      <name val="微软雅黑"/>
      <charset val="134"/>
    </font>
    <font>
      <sz val="14"/>
      <color rgb="FFFF0000"/>
      <name val="微软雅黑"/>
      <charset val="134"/>
    </font>
    <font>
      <b/>
      <sz val="16"/>
      <color rgb="FF000000"/>
      <name val="微软雅黑"/>
      <charset val="134"/>
    </font>
    <font>
      <sz val="14"/>
      <color rgb="FF000000"/>
      <name val="微软雅黑"/>
      <charset val="134"/>
    </font>
    <font>
      <sz val="14"/>
      <color theme="0"/>
      <name val="微软雅黑"/>
      <charset val="134"/>
    </font>
    <font>
      <sz val="14"/>
      <color rgb="FF08090C"/>
      <name val="微软雅黑"/>
      <charset val="134"/>
    </font>
    <font>
      <sz val="12"/>
      <color rgb="FF08090C"/>
      <name val="微软雅黑"/>
      <charset val="134"/>
    </font>
    <font>
      <b/>
      <sz val="18"/>
      <color rgb="FF08090C"/>
      <name val="微软雅黑"/>
      <charset val="134"/>
    </font>
    <font>
      <b/>
      <sz val="16"/>
      <color theme="4"/>
      <name val="微软雅黑"/>
      <charset val="134"/>
    </font>
    <font>
      <sz val="16"/>
      <color rgb="FFFF0000"/>
      <name val="微软雅黑"/>
      <charset val="134"/>
    </font>
    <font>
      <sz val="16"/>
      <color rgb="FF000000"/>
      <name val="微软雅黑"/>
      <charset val="134"/>
    </font>
    <font>
      <sz val="16"/>
      <color theme="1"/>
      <name val="微软雅黑"/>
      <charset val="134"/>
    </font>
    <font>
      <b/>
      <sz val="26"/>
      <color rgb="FF002060"/>
      <name val="微软雅黑"/>
      <charset val="134"/>
    </font>
    <font>
      <sz val="16"/>
      <color rgb="FF08090C"/>
      <name val="微软雅黑"/>
      <charset val="134"/>
    </font>
    <font>
      <sz val="22"/>
      <color rgb="FF000000"/>
      <name val="微软雅黑"/>
      <charset val="134"/>
    </font>
    <font>
      <b/>
      <sz val="22"/>
      <color rgb="FF000000"/>
      <name val="微软雅黑"/>
      <charset val="134"/>
    </font>
    <font>
      <sz val="16"/>
      <name val="微软雅黑"/>
      <charset val="134"/>
    </font>
    <font>
      <b/>
      <sz val="18"/>
      <color theme="4"/>
      <name val="微软雅黑"/>
      <charset val="134"/>
    </font>
    <font>
      <b/>
      <sz val="24"/>
      <color rgb="FF000000"/>
      <name val="微软雅黑"/>
      <charset val="134"/>
    </font>
    <font>
      <b/>
      <sz val="26"/>
      <color rgb="FF000000"/>
      <name val="微软雅黑"/>
      <charset val="134"/>
    </font>
    <font>
      <sz val="12"/>
      <color theme="1"/>
      <name val="宋体"/>
      <charset val="134"/>
      <scheme val="minor"/>
    </font>
    <font>
      <b/>
      <sz val="12"/>
      <color theme="4"/>
      <name val="微软雅黑"/>
      <charset val="134"/>
    </font>
    <font>
      <sz val="14"/>
      <color rgb="FF7030A0"/>
      <name val="微软雅黑"/>
      <charset val="134"/>
    </font>
    <font>
      <sz val="14"/>
      <color theme="1"/>
      <name val="微软雅黑"/>
      <charset val="134"/>
    </font>
    <font>
      <sz val="16"/>
      <color theme="0"/>
      <name val="微软雅黑"/>
      <charset val="134"/>
    </font>
    <font>
      <sz val="16"/>
      <color rgb="FF7030A0"/>
      <name val="微软雅黑"/>
      <charset val="134"/>
    </font>
    <font>
      <b/>
      <sz val="14"/>
      <color rgb="FFFF0000"/>
      <name val="微软雅黑"/>
      <charset val="134"/>
    </font>
    <font>
      <sz val="12"/>
      <color rgb="FF7030A0"/>
      <name val="微软雅黑"/>
      <charset val="134"/>
    </font>
    <font>
      <sz val="18"/>
      <color rgb="FF7030A0"/>
      <name val="微软雅黑"/>
      <charset val="134"/>
    </font>
    <font>
      <sz val="18"/>
      <name val="微软雅黑"/>
      <charset val="134"/>
    </font>
    <font>
      <sz val="16"/>
      <color rgb="FFFFFF00"/>
      <name val="微软雅黑"/>
      <charset val="134"/>
    </font>
    <font>
      <sz val="12"/>
      <color theme="0"/>
      <name val="微软雅黑"/>
      <charset val="134"/>
    </font>
    <font>
      <sz val="18"/>
      <color rgb="FF00B0F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0"/>
      <color theme="1"/>
      <name val="微软雅黑"/>
      <charset val="134"/>
    </font>
    <font>
      <sz val="20"/>
      <color rgb="FF53B7C3"/>
      <name val="微软雅黑"/>
      <charset val="134"/>
    </font>
    <font>
      <sz val="11"/>
      <color rgb="FF00B0F0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3FBED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2">
    <border>
      <left/>
      <right/>
      <top/>
      <bottom/>
      <diagonal/>
    </border>
    <border>
      <left style="thin">
        <color theme="4" tint="0.4"/>
      </left>
      <right style="thin">
        <color theme="4" tint="0.4"/>
      </right>
      <top/>
      <bottom/>
      <diagonal/>
    </border>
    <border>
      <left style="thin">
        <color theme="4" tint="0.4"/>
      </left>
      <right style="thin">
        <color theme="4" tint="0.4"/>
      </right>
      <top style="hair">
        <color theme="4"/>
      </top>
      <bottom style="hair">
        <color theme="4"/>
      </bottom>
      <diagonal/>
    </border>
    <border>
      <left/>
      <right style="thin">
        <color theme="4" tint="0.4"/>
      </right>
      <top style="thin">
        <color theme="4" tint="0.4"/>
      </top>
      <bottom style="thin">
        <color theme="4" tint="0.4"/>
      </bottom>
      <diagonal/>
    </border>
    <border>
      <left style="thin">
        <color theme="4" tint="0.4"/>
      </left>
      <right style="thin">
        <color theme="4" tint="0.4"/>
      </right>
      <top style="thin">
        <color theme="4" tint="0.4"/>
      </top>
      <bottom style="thin">
        <color theme="4" tint="0.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hair">
        <color theme="4"/>
      </right>
      <top/>
      <bottom style="hair">
        <color theme="4"/>
      </bottom>
      <diagonal/>
    </border>
    <border>
      <left style="hair">
        <color theme="4"/>
      </left>
      <right style="hair">
        <color theme="4"/>
      </right>
      <top/>
      <bottom style="hair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 style="hair">
        <color theme="4"/>
      </right>
      <top style="hair">
        <color theme="4"/>
      </top>
      <bottom style="hair">
        <color theme="4"/>
      </bottom>
      <diagonal/>
    </border>
    <border>
      <left style="hair">
        <color theme="4"/>
      </left>
      <right style="hair">
        <color theme="4"/>
      </right>
      <top style="hair">
        <color theme="4"/>
      </top>
      <bottom style="hair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hair">
        <color theme="4"/>
      </right>
      <top style="hair">
        <color theme="4"/>
      </top>
      <bottom style="thin">
        <color theme="4"/>
      </bottom>
      <diagonal/>
    </border>
    <border>
      <left style="hair">
        <color theme="4"/>
      </left>
      <right style="hair">
        <color theme="4"/>
      </right>
      <top style="hair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/>
      <top/>
      <bottom style="thin">
        <color theme="4" tint="0.6"/>
      </bottom>
      <diagonal/>
    </border>
    <border>
      <left style="thin">
        <color theme="4"/>
      </left>
      <right style="thin">
        <color theme="4"/>
      </right>
      <top/>
      <bottom style="hair">
        <color theme="4"/>
      </bottom>
      <diagonal/>
    </border>
    <border>
      <left style="thin">
        <color theme="4"/>
      </left>
      <right/>
      <top/>
      <bottom style="hair">
        <color theme="4"/>
      </bottom>
      <diagonal/>
    </border>
    <border>
      <left/>
      <right style="thin">
        <color theme="4"/>
      </right>
      <top/>
      <bottom style="hair">
        <color theme="4"/>
      </bottom>
      <diagonal/>
    </border>
    <border>
      <left style="thin">
        <color theme="4" tint="0.6"/>
      </left>
      <right/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/>
      </right>
      <top style="hair">
        <color theme="4"/>
      </top>
      <bottom style="hair">
        <color theme="4"/>
      </bottom>
      <diagonal/>
    </border>
    <border>
      <left style="thin">
        <color theme="4"/>
      </left>
      <right/>
      <top style="hair">
        <color theme="4"/>
      </top>
      <bottom style="hair">
        <color theme="4"/>
      </bottom>
      <diagonal/>
    </border>
    <border>
      <left/>
      <right style="thin">
        <color theme="4"/>
      </right>
      <top style="hair">
        <color theme="4"/>
      </top>
      <bottom style="hair">
        <color theme="4"/>
      </bottom>
      <diagonal/>
    </border>
    <border>
      <left style="thin">
        <color theme="4"/>
      </left>
      <right style="thin">
        <color theme="4"/>
      </right>
      <top style="hair">
        <color theme="4"/>
      </top>
      <bottom style="thin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 style="hair">
        <color theme="4"/>
      </left>
      <right/>
      <top/>
      <bottom/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/>
      <right/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/>
      <bottom/>
      <diagonal/>
    </border>
    <border>
      <left/>
      <right style="thin">
        <color theme="4"/>
      </right>
      <top/>
      <bottom style="thin">
        <color theme="4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9" fillId="0" borderId="0">
      <alignment vertical="center"/>
    </xf>
    <xf numFmtId="0" fontId="50" fillId="0" borderId="0">
      <alignment vertical="center"/>
    </xf>
    <xf numFmtId="0" fontId="0" fillId="12" borderId="74">
      <alignment vertical="center"/>
    </xf>
    <xf numFmtId="0" fontId="51" fillId="0" borderId="0">
      <alignment vertical="center"/>
    </xf>
    <xf numFmtId="0" fontId="52" fillId="0" borderId="0">
      <alignment vertical="center"/>
    </xf>
    <xf numFmtId="0" fontId="53" fillId="0" borderId="0">
      <alignment vertical="center"/>
    </xf>
    <xf numFmtId="0" fontId="54" fillId="0" borderId="75">
      <alignment vertical="center"/>
    </xf>
    <xf numFmtId="0" fontId="55" fillId="0" borderId="75">
      <alignment vertical="center"/>
    </xf>
    <xf numFmtId="0" fontId="56" fillId="0" borderId="76">
      <alignment vertical="center"/>
    </xf>
    <xf numFmtId="0" fontId="56" fillId="0" borderId="0">
      <alignment vertical="center"/>
    </xf>
    <xf numFmtId="0" fontId="57" fillId="13" borderId="77">
      <alignment vertical="center"/>
    </xf>
    <xf numFmtId="0" fontId="58" fillId="14" borderId="78">
      <alignment vertical="center"/>
    </xf>
    <xf numFmtId="0" fontId="59" fillId="14" borderId="77">
      <alignment vertical="center"/>
    </xf>
    <xf numFmtId="0" fontId="60" fillId="15" borderId="79">
      <alignment vertical="center"/>
    </xf>
    <xf numFmtId="0" fontId="61" fillId="0" borderId="80">
      <alignment vertical="center"/>
    </xf>
    <xf numFmtId="0" fontId="62" fillId="0" borderId="81">
      <alignment vertical="center"/>
    </xf>
    <xf numFmtId="0" fontId="63" fillId="16" borderId="0">
      <alignment vertical="center"/>
    </xf>
    <xf numFmtId="0" fontId="64" fillId="17" borderId="0">
      <alignment vertical="center"/>
    </xf>
    <xf numFmtId="0" fontId="65" fillId="18" borderId="0">
      <alignment vertical="center"/>
    </xf>
    <xf numFmtId="0" fontId="66" fillId="19" borderId="0">
      <alignment vertical="center"/>
    </xf>
    <xf numFmtId="0" fontId="67" fillId="20" borderId="0">
      <alignment vertical="center"/>
    </xf>
    <xf numFmtId="0" fontId="67" fillId="21" borderId="0">
      <alignment vertical="center"/>
    </xf>
    <xf numFmtId="0" fontId="66" fillId="22" borderId="0">
      <alignment vertical="center"/>
    </xf>
    <xf numFmtId="0" fontId="66" fillId="23" borderId="0">
      <alignment vertical="center"/>
    </xf>
    <xf numFmtId="0" fontId="67" fillId="24" borderId="0">
      <alignment vertical="center"/>
    </xf>
    <xf numFmtId="0" fontId="67" fillId="25" borderId="0">
      <alignment vertical="center"/>
    </xf>
    <xf numFmtId="0" fontId="66" fillId="26" borderId="0">
      <alignment vertical="center"/>
    </xf>
    <xf numFmtId="0" fontId="66" fillId="27" borderId="0">
      <alignment vertical="center"/>
    </xf>
    <xf numFmtId="0" fontId="67" fillId="28" borderId="0">
      <alignment vertical="center"/>
    </xf>
    <xf numFmtId="0" fontId="67" fillId="29" borderId="0">
      <alignment vertical="center"/>
    </xf>
    <xf numFmtId="0" fontId="66" fillId="30" borderId="0">
      <alignment vertical="center"/>
    </xf>
    <xf numFmtId="0" fontId="66" fillId="31" borderId="0">
      <alignment vertical="center"/>
    </xf>
    <xf numFmtId="0" fontId="67" fillId="32" borderId="0">
      <alignment vertical="center"/>
    </xf>
    <xf numFmtId="0" fontId="67" fillId="33" borderId="0">
      <alignment vertical="center"/>
    </xf>
    <xf numFmtId="0" fontId="66" fillId="34" borderId="0">
      <alignment vertical="center"/>
    </xf>
    <xf numFmtId="0" fontId="66" fillId="35" borderId="0">
      <alignment vertical="center"/>
    </xf>
    <xf numFmtId="0" fontId="67" fillId="36" borderId="0">
      <alignment vertical="center"/>
    </xf>
    <xf numFmtId="0" fontId="67" fillId="37" borderId="0">
      <alignment vertical="center"/>
    </xf>
    <xf numFmtId="0" fontId="66" fillId="38" borderId="0">
      <alignment vertical="center"/>
    </xf>
    <xf numFmtId="0" fontId="66" fillId="39" borderId="0">
      <alignment vertical="center"/>
    </xf>
    <xf numFmtId="0" fontId="67" fillId="40" borderId="0">
      <alignment vertical="center"/>
    </xf>
    <xf numFmtId="0" fontId="67" fillId="41" borderId="0">
      <alignment vertical="center"/>
    </xf>
    <xf numFmtId="0" fontId="66" fillId="42" borderId="0">
      <alignment vertical="center"/>
    </xf>
  </cellStyleXfs>
  <cellXfs count="27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 applyProtection="1">
      <alignment horizontal="center" vertical="center"/>
    </xf>
    <xf numFmtId="10" fontId="1" fillId="3" borderId="2" xfId="0" applyNumberFormat="1" applyFont="1" applyFill="1" applyBorder="1" applyAlignment="1" applyProtection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10" fontId="0" fillId="0" borderId="4" xfId="0" applyNumberFormat="1" applyBorder="1" applyAlignment="1">
      <alignment vertical="center"/>
    </xf>
    <xf numFmtId="10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vertical="center"/>
    </xf>
    <xf numFmtId="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vertical="center"/>
    </xf>
    <xf numFmtId="10" fontId="0" fillId="0" borderId="5" xfId="0" applyNumberFormat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0" fontId="2" fillId="4" borderId="0" xfId="0" applyNumberFormat="1" applyFont="1" applyFill="1" applyAlignment="1">
      <alignment horizontal="center" vertical="center"/>
    </xf>
    <xf numFmtId="9" fontId="2" fillId="4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5" borderId="0" xfId="0" applyFont="1" applyFill="1" applyAlignment="1" applyProtection="1">
      <alignment horizontal="center" vertical="top" wrapText="1"/>
    </xf>
    <xf numFmtId="0" fontId="7" fillId="0" borderId="0" xfId="0" applyFont="1" applyAlignment="1" applyProtection="1">
      <alignment horizontal="center" vertical="center"/>
    </xf>
    <xf numFmtId="0" fontId="7" fillId="0" borderId="0" xfId="0" applyFont="1" applyFill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 wrapText="1"/>
    </xf>
    <xf numFmtId="0" fontId="9" fillId="3" borderId="11" xfId="0" applyFont="1" applyFill="1" applyBorder="1" applyAlignment="1" applyProtection="1">
      <alignment horizontal="center" vertical="center" wrapText="1"/>
    </xf>
    <xf numFmtId="0" fontId="10" fillId="6" borderId="12" xfId="0" applyFont="1" applyFill="1" applyBorder="1" applyAlignment="1" applyProtection="1">
      <alignment horizontal="center" vertical="center"/>
    </xf>
    <xf numFmtId="0" fontId="11" fillId="2" borderId="13" xfId="0" applyFont="1" applyFill="1" applyBorder="1" applyAlignment="1" applyProtection="1">
      <alignment horizontal="center" vertical="center"/>
    </xf>
    <xf numFmtId="10" fontId="12" fillId="0" borderId="14" xfId="0" applyNumberFormat="1" applyFont="1" applyBorder="1" applyAlignment="1">
      <alignment horizontal="center" vertical="center"/>
    </xf>
    <xf numFmtId="10" fontId="13" fillId="0" borderId="15" xfId="3" applyNumberFormat="1" applyFont="1" applyBorder="1" applyAlignment="1">
      <alignment horizontal="center" vertical="center" wrapText="1"/>
    </xf>
    <xf numFmtId="0" fontId="11" fillId="2" borderId="12" xfId="0" applyFont="1" applyFill="1" applyBorder="1" applyAlignment="1" applyProtection="1">
      <alignment horizontal="center" vertical="center"/>
    </xf>
    <xf numFmtId="0" fontId="10" fillId="3" borderId="16" xfId="0" applyFont="1" applyFill="1" applyBorder="1" applyAlignment="1" applyProtection="1">
      <alignment horizontal="center" vertical="center"/>
    </xf>
    <xf numFmtId="0" fontId="11" fillId="3" borderId="17" xfId="0" applyFont="1" applyFill="1" applyBorder="1" applyAlignment="1" applyProtection="1">
      <alignment horizontal="center" vertical="center"/>
    </xf>
    <xf numFmtId="10" fontId="13" fillId="0" borderId="15" xfId="3" applyNumberFormat="1" applyFont="1" applyBorder="1" applyAlignment="1">
      <alignment horizontal="center" vertical="center"/>
    </xf>
    <xf numFmtId="0" fontId="11" fillId="3" borderId="16" xfId="0" applyFont="1" applyFill="1" applyBorder="1" applyAlignment="1" applyProtection="1">
      <alignment horizontal="center" vertical="center"/>
    </xf>
    <xf numFmtId="0" fontId="11" fillId="2" borderId="16" xfId="0" applyFont="1" applyFill="1" applyBorder="1" applyAlignment="1" applyProtection="1">
      <alignment horizontal="center" vertical="center"/>
    </xf>
    <xf numFmtId="0" fontId="11" fillId="2" borderId="17" xfId="0" applyFont="1" applyFill="1" applyBorder="1" applyAlignment="1" applyProtection="1">
      <alignment horizontal="center" vertical="center"/>
    </xf>
    <xf numFmtId="0" fontId="10" fillId="6" borderId="16" xfId="0" applyFont="1" applyFill="1" applyBorder="1" applyAlignment="1" applyProtection="1">
      <alignment horizontal="center" vertical="center"/>
    </xf>
    <xf numFmtId="10" fontId="11" fillId="3" borderId="17" xfId="0" applyNumberFormat="1" applyFont="1" applyFill="1" applyBorder="1" applyAlignment="1" applyProtection="1">
      <alignment horizontal="center" vertical="center"/>
    </xf>
    <xf numFmtId="10" fontId="11" fillId="2" borderId="17" xfId="0" applyNumberFormat="1" applyFont="1" applyFill="1" applyBorder="1" applyAlignment="1" applyProtection="1">
      <alignment horizontal="center" vertical="center"/>
    </xf>
    <xf numFmtId="0" fontId="11" fillId="6" borderId="16" xfId="0" applyFont="1" applyFill="1" applyBorder="1" applyAlignment="1" applyProtection="1">
      <alignment horizontal="center" vertical="center"/>
    </xf>
    <xf numFmtId="10" fontId="13" fillId="0" borderId="18" xfId="3" applyNumberFormat="1" applyFont="1" applyBorder="1" applyAlignment="1">
      <alignment horizontal="center" vertical="center"/>
    </xf>
    <xf numFmtId="0" fontId="10" fillId="6" borderId="19" xfId="0" applyFont="1" applyFill="1" applyBorder="1" applyAlignment="1" applyProtection="1">
      <alignment horizontal="center" vertical="center"/>
    </xf>
    <xf numFmtId="0" fontId="11" fillId="2" borderId="20" xfId="0" applyFont="1" applyFill="1" applyBorder="1" applyAlignment="1" applyProtection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</xf>
    <xf numFmtId="176" fontId="15" fillId="2" borderId="21" xfId="0" applyNumberFormat="1" applyFont="1" applyFill="1" applyBorder="1" applyAlignment="1" applyProtection="1">
      <alignment vertical="center"/>
    </xf>
    <xf numFmtId="0" fontId="16" fillId="2" borderId="21" xfId="0" applyFont="1" applyFill="1" applyBorder="1" applyAlignment="1" applyProtection="1">
      <alignment horizontal="center" vertical="center"/>
    </xf>
    <xf numFmtId="0" fontId="17" fillId="2" borderId="22" xfId="0" applyFont="1" applyFill="1" applyBorder="1" applyAlignment="1" applyProtection="1">
      <alignment horizontal="center" vertical="center"/>
    </xf>
    <xf numFmtId="0" fontId="18" fillId="7" borderId="13" xfId="0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 applyProtection="1">
      <alignment horizontal="center" vertical="center"/>
    </xf>
    <xf numFmtId="0" fontId="20" fillId="8" borderId="24" xfId="0" applyFont="1" applyFill="1" applyBorder="1" applyAlignment="1" applyProtection="1">
      <alignment horizontal="center" vertical="center"/>
    </xf>
    <xf numFmtId="0" fontId="20" fillId="8" borderId="25" xfId="0" applyFont="1" applyFill="1" applyBorder="1" applyAlignment="1" applyProtection="1">
      <alignment horizontal="center" vertical="center"/>
    </xf>
    <xf numFmtId="0" fontId="17" fillId="2" borderId="26" xfId="0" applyFont="1" applyFill="1" applyBorder="1" applyAlignment="1" applyProtection="1">
      <alignment horizontal="center" vertical="center"/>
    </xf>
    <xf numFmtId="0" fontId="18" fillId="7" borderId="17" xfId="0" applyFont="1" applyFill="1" applyBorder="1" applyAlignment="1" applyProtection="1">
      <alignment horizontal="center" vertical="center"/>
      <protection locked="0"/>
    </xf>
    <xf numFmtId="0" fontId="19" fillId="2" borderId="27" xfId="0" applyFont="1" applyFill="1" applyBorder="1" applyAlignment="1" applyProtection="1">
      <alignment horizontal="center" vertical="center"/>
    </xf>
    <xf numFmtId="0" fontId="19" fillId="7" borderId="17" xfId="0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 applyProtection="1">
      <alignment horizontal="center" vertical="center"/>
    </xf>
    <xf numFmtId="10" fontId="19" fillId="2" borderId="28" xfId="0" applyNumberFormat="1" applyFont="1" applyFill="1" applyBorder="1" applyAlignment="1" applyProtection="1">
      <alignment horizontal="center" vertical="center"/>
    </xf>
    <xf numFmtId="10" fontId="19" fillId="2" borderId="29" xfId="0" applyNumberFormat="1" applyFont="1" applyFill="1" applyBorder="1" applyAlignment="1" applyProtection="1">
      <alignment horizontal="center" vertical="center"/>
    </xf>
    <xf numFmtId="0" fontId="22" fillId="2" borderId="26" xfId="0" applyFont="1" applyFill="1" applyBorder="1" applyAlignment="1" applyProtection="1">
      <alignment horizontal="center" vertical="center"/>
    </xf>
    <xf numFmtId="0" fontId="17" fillId="2" borderId="30" xfId="0" applyFont="1" applyFill="1" applyBorder="1" applyAlignment="1" applyProtection="1">
      <alignment horizontal="center" vertical="center"/>
    </xf>
    <xf numFmtId="0" fontId="23" fillId="2" borderId="31" xfId="0" applyFont="1" applyFill="1" applyBorder="1" applyAlignment="1" applyProtection="1">
      <alignment horizontal="center" vertical="center"/>
    </xf>
    <xf numFmtId="0" fontId="24" fillId="2" borderId="32" xfId="0" applyFont="1" applyFill="1" applyBorder="1" applyAlignment="1" applyProtection="1">
      <alignment horizontal="center" vertical="center"/>
    </xf>
    <xf numFmtId="0" fontId="16" fillId="2" borderId="32" xfId="0" applyFont="1" applyFill="1" applyBorder="1" applyAlignment="1" applyProtection="1">
      <alignment horizontal="center" vertical="center"/>
    </xf>
    <xf numFmtId="0" fontId="25" fillId="4" borderId="5" xfId="0" applyFont="1" applyFill="1" applyBorder="1" applyAlignment="1">
      <alignment horizontal="center" vertical="center" wrapText="1"/>
    </xf>
    <xf numFmtId="0" fontId="26" fillId="7" borderId="5" xfId="0" applyFont="1" applyFill="1" applyBorder="1" applyAlignment="1" applyProtection="1">
      <alignment horizontal="center" vertical="center"/>
      <protection locked="0"/>
    </xf>
    <xf numFmtId="10" fontId="26" fillId="7" borderId="5" xfId="0" applyNumberFormat="1" applyFont="1" applyFill="1" applyBorder="1" applyAlignment="1" applyProtection="1">
      <alignment horizontal="center" vertical="center"/>
      <protection locked="0"/>
    </xf>
    <xf numFmtId="0" fontId="27" fillId="0" borderId="5" xfId="0" applyFont="1" applyBorder="1" applyAlignment="1">
      <alignment horizontal="center" vertical="center"/>
    </xf>
    <xf numFmtId="10" fontId="27" fillId="0" borderId="5" xfId="0" applyNumberFormat="1" applyFont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7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4" fillId="2" borderId="0" xfId="0" applyFont="1" applyFill="1" applyBorder="1" applyAlignment="1" applyProtection="1">
      <alignment horizontal="center" vertical="center"/>
    </xf>
    <xf numFmtId="0" fontId="16" fillId="2" borderId="0" xfId="0" applyFont="1" applyFill="1" applyBorder="1" applyAlignment="1" applyProtection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9" fillId="3" borderId="33" xfId="0" applyFont="1" applyFill="1" applyBorder="1" applyAlignment="1" applyProtection="1">
      <alignment horizontal="center" vertical="center" wrapText="1"/>
    </xf>
    <xf numFmtId="0" fontId="28" fillId="3" borderId="34" xfId="0" applyFont="1" applyFill="1" applyBorder="1" applyAlignment="1" applyProtection="1">
      <alignment horizontal="center" vertical="center" wrapText="1"/>
    </xf>
    <xf numFmtId="0" fontId="29" fillId="2" borderId="35" xfId="0" applyFont="1" applyFill="1" applyBorder="1" applyAlignment="1" applyProtection="1">
      <alignment horizontal="center" vertical="center"/>
    </xf>
    <xf numFmtId="0" fontId="30" fillId="7" borderId="36" xfId="0" applyFont="1" applyFill="1" applyBorder="1" applyAlignment="1" applyProtection="1">
      <alignment horizontal="center" vertical="center"/>
      <protection locked="0"/>
    </xf>
    <xf numFmtId="0" fontId="30" fillId="7" borderId="0" xfId="0" applyFont="1" applyFill="1" applyAlignment="1" applyProtection="1">
      <alignment horizontal="center" vertical="center"/>
      <protection locked="0"/>
    </xf>
    <xf numFmtId="0" fontId="31" fillId="3" borderId="34" xfId="0" applyFont="1" applyFill="1" applyBorder="1" applyAlignment="1" applyProtection="1">
      <alignment horizontal="center" vertical="center" wrapText="1"/>
    </xf>
    <xf numFmtId="0" fontId="29" fillId="2" borderId="35" xfId="0" applyFont="1" applyFill="1" applyBorder="1" applyAlignment="1" applyProtection="1">
      <alignment vertical="center"/>
    </xf>
    <xf numFmtId="176" fontId="7" fillId="2" borderId="37" xfId="0" applyNumberFormat="1" applyFont="1" applyFill="1" applyBorder="1" applyAlignment="1" applyProtection="1">
      <alignment horizontal="center" vertical="center"/>
    </xf>
    <xf numFmtId="176" fontId="7" fillId="2" borderId="38" xfId="0" applyNumberFormat="1" applyFont="1" applyFill="1" applyBorder="1" applyAlignment="1" applyProtection="1">
      <alignment horizontal="center" vertical="center"/>
    </xf>
    <xf numFmtId="176" fontId="32" fillId="0" borderId="35" xfId="0" applyNumberFormat="1" applyFont="1" applyFill="1" applyBorder="1" applyAlignment="1" applyProtection="1">
      <alignment horizontal="center" vertical="center" wrapText="1"/>
    </xf>
    <xf numFmtId="176" fontId="32" fillId="0" borderId="35" xfId="0" applyNumberFormat="1" applyFont="1" applyFill="1" applyBorder="1" applyAlignment="1" applyProtection="1">
      <alignment horizontal="center" vertical="center"/>
    </xf>
    <xf numFmtId="176" fontId="27" fillId="0" borderId="35" xfId="0" applyNumberFormat="1" applyFont="1" applyFill="1" applyBorder="1" applyAlignment="1" applyProtection="1">
      <alignment horizontal="center" vertical="center" wrapText="1"/>
    </xf>
    <xf numFmtId="176" fontId="27" fillId="0" borderId="35" xfId="0" applyNumberFormat="1" applyFont="1" applyFill="1" applyBorder="1" applyAlignment="1" applyProtection="1">
      <alignment horizontal="center" vertical="center"/>
    </xf>
    <xf numFmtId="0" fontId="21" fillId="2" borderId="39" xfId="0" applyFont="1" applyFill="1" applyBorder="1" applyAlignment="1" applyProtection="1">
      <alignment horizontal="center" vertical="center"/>
    </xf>
    <xf numFmtId="176" fontId="33" fillId="2" borderId="21" xfId="0" applyNumberFormat="1" applyFont="1" applyFill="1" applyBorder="1" applyAlignment="1" applyProtection="1">
      <alignment horizontal="center" vertical="center"/>
    </xf>
    <xf numFmtId="0" fontId="34" fillId="3" borderId="40" xfId="0" applyFont="1" applyFill="1" applyBorder="1" applyAlignment="1" applyProtection="1">
      <alignment horizontal="center" vertical="center" wrapText="1"/>
    </xf>
    <xf numFmtId="0" fontId="34" fillId="3" borderId="41" xfId="0" applyFont="1" applyFill="1" applyBorder="1" applyAlignment="1" applyProtection="1">
      <alignment horizontal="center" vertical="center" wrapText="1"/>
    </xf>
    <xf numFmtId="0" fontId="21" fillId="2" borderId="22" xfId="0" applyFont="1" applyFill="1" applyBorder="1" applyAlignment="1" applyProtection="1">
      <alignment horizontal="center" vertical="center"/>
    </xf>
    <xf numFmtId="177" fontId="21" fillId="2" borderId="13" xfId="0" applyNumberFormat="1" applyFont="1" applyFill="1" applyBorder="1" applyAlignment="1" applyProtection="1">
      <alignment horizontal="center" vertical="center"/>
    </xf>
    <xf numFmtId="0" fontId="16" fillId="2" borderId="34" xfId="0" applyFont="1" applyFill="1" applyBorder="1" applyAlignment="1" applyProtection="1">
      <alignment horizontal="center" vertical="center"/>
    </xf>
    <xf numFmtId="10" fontId="16" fillId="2" borderId="34" xfId="0" applyNumberFormat="1" applyFont="1" applyFill="1" applyBorder="1" applyAlignment="1" applyProtection="1">
      <alignment horizontal="center" vertical="center"/>
    </xf>
    <xf numFmtId="177" fontId="21" fillId="2" borderId="17" xfId="0" applyNumberFormat="1" applyFont="1" applyFill="1" applyBorder="1" applyAlignment="1" applyProtection="1">
      <alignment horizontal="center" vertical="center"/>
    </xf>
    <xf numFmtId="10" fontId="19" fillId="2" borderId="23" xfId="0" applyNumberFormat="1" applyFont="1" applyFill="1" applyBorder="1" applyAlignment="1" applyProtection="1">
      <alignment horizontal="center" vertical="center"/>
    </xf>
    <xf numFmtId="10" fontId="19" fillId="2" borderId="27" xfId="0" applyNumberFormat="1" applyFont="1" applyFill="1" applyBorder="1" applyAlignment="1" applyProtection="1">
      <alignment horizontal="center" vertical="center"/>
    </xf>
    <xf numFmtId="10" fontId="19" fillId="7" borderId="17" xfId="0" applyNumberFormat="1" applyFont="1" applyFill="1" applyBorder="1" applyAlignment="1" applyProtection="1">
      <alignment horizontal="center" vertical="center"/>
      <protection locked="0"/>
    </xf>
    <xf numFmtId="0" fontId="19" fillId="2" borderId="30" xfId="0" applyFont="1" applyFill="1" applyBorder="1" applyAlignment="1" applyProtection="1">
      <alignment horizontal="center" vertical="center"/>
    </xf>
    <xf numFmtId="10" fontId="17" fillId="2" borderId="30" xfId="0" applyNumberFormat="1" applyFont="1" applyFill="1" applyBorder="1" applyAlignment="1" applyProtection="1">
      <alignment horizontal="center" vertical="center"/>
    </xf>
    <xf numFmtId="0" fontId="34" fillId="3" borderId="42" xfId="0" applyFont="1" applyFill="1" applyBorder="1" applyAlignment="1" applyProtection="1">
      <alignment horizontal="center" vertical="center" wrapText="1"/>
    </xf>
    <xf numFmtId="0" fontId="34" fillId="3" borderId="43" xfId="0" applyFont="1" applyFill="1" applyBorder="1" applyAlignment="1" applyProtection="1">
      <alignment horizontal="center" vertical="center" wrapText="1"/>
    </xf>
    <xf numFmtId="0" fontId="32" fillId="6" borderId="16" xfId="0" applyFont="1" applyFill="1" applyBorder="1" applyAlignment="1" applyProtection="1">
      <alignment horizontal="center" vertical="center"/>
      <protection locked="0"/>
    </xf>
    <xf numFmtId="0" fontId="35" fillId="3" borderId="10" xfId="0" applyFont="1" applyFill="1" applyBorder="1" applyAlignment="1" applyProtection="1">
      <alignment horizontal="center" vertical="center" wrapText="1"/>
    </xf>
    <xf numFmtId="0" fontId="35" fillId="3" borderId="11" xfId="0" applyFont="1" applyFill="1" applyBorder="1" applyAlignment="1" applyProtection="1">
      <alignment horizontal="center" vertical="center" wrapText="1"/>
    </xf>
    <xf numFmtId="176" fontId="16" fillId="2" borderId="34" xfId="0" applyNumberFormat="1" applyFont="1" applyFill="1" applyBorder="1" applyAlignment="1" applyProtection="1">
      <alignment horizontal="center" vertical="center"/>
    </xf>
    <xf numFmtId="176" fontId="16" fillId="2" borderId="34" xfId="0" applyNumberFormat="1" applyFont="1" applyFill="1" applyBorder="1" applyAlignment="1" applyProtection="1">
      <alignment horizontal="left" vertical="center"/>
    </xf>
    <xf numFmtId="176" fontId="16" fillId="2" borderId="44" xfId="0" applyNumberFormat="1" applyFont="1" applyFill="1" applyBorder="1" applyAlignment="1" applyProtection="1">
      <alignment horizontal="left" vertical="center"/>
    </xf>
    <xf numFmtId="0" fontId="36" fillId="0" borderId="0" xfId="0" applyFont="1" applyAlignment="1">
      <alignment horizontal="center" vertical="center"/>
    </xf>
    <xf numFmtId="0" fontId="26" fillId="2" borderId="10" xfId="0" applyFont="1" applyFill="1" applyBorder="1" applyAlignment="1" applyProtection="1">
      <alignment horizontal="center" vertical="center"/>
    </xf>
    <xf numFmtId="0" fontId="26" fillId="2" borderId="11" xfId="0" applyFont="1" applyFill="1" applyBorder="1" applyAlignment="1" applyProtection="1">
      <alignment horizontal="center" vertical="center"/>
    </xf>
    <xf numFmtId="0" fontId="25" fillId="0" borderId="15" xfId="0" applyFont="1" applyBorder="1" applyAlignment="1" applyProtection="1">
      <alignment horizontal="center" vertical="center" wrapText="1"/>
    </xf>
    <xf numFmtId="176" fontId="37" fillId="2" borderId="18" xfId="0" applyNumberFormat="1" applyFont="1" applyFill="1" applyBorder="1" applyAlignment="1" applyProtection="1">
      <alignment horizontal="center" vertical="center"/>
    </xf>
    <xf numFmtId="0" fontId="25" fillId="0" borderId="0" xfId="0" applyFont="1" applyBorder="1" applyAlignment="1" applyProtection="1">
      <alignment horizontal="center" vertical="center"/>
    </xf>
    <xf numFmtId="0" fontId="25" fillId="0" borderId="18" xfId="0" applyFont="1" applyBorder="1" applyAlignment="1" applyProtection="1">
      <alignment horizontal="center" vertical="center"/>
    </xf>
    <xf numFmtId="0" fontId="14" fillId="6" borderId="16" xfId="0" applyFont="1" applyFill="1" applyBorder="1" applyAlignment="1" applyProtection="1">
      <alignment horizontal="center" vertical="center"/>
      <protection locked="0"/>
    </xf>
    <xf numFmtId="0" fontId="25" fillId="0" borderId="43" xfId="0" applyFont="1" applyBorder="1" applyAlignment="1" applyProtection="1">
      <alignment horizontal="center" vertical="center"/>
    </xf>
    <xf numFmtId="176" fontId="19" fillId="2" borderId="23" xfId="0" applyNumberFormat="1" applyFont="1" applyFill="1" applyBorder="1" applyAlignment="1" applyProtection="1">
      <alignment horizontal="center" vertical="center"/>
    </xf>
    <xf numFmtId="176" fontId="19" fillId="2" borderId="27" xfId="0" applyNumberFormat="1" applyFont="1" applyFill="1" applyBorder="1" applyAlignment="1" applyProtection="1">
      <alignment horizontal="center" vertical="center"/>
    </xf>
    <xf numFmtId="176" fontId="17" fillId="2" borderId="30" xfId="0" applyNumberFormat="1" applyFont="1" applyFill="1" applyBorder="1" applyAlignment="1" applyProtection="1">
      <alignment horizontal="center" vertical="center"/>
    </xf>
    <xf numFmtId="0" fontId="35" fillId="3" borderId="33" xfId="0" applyFont="1" applyFill="1" applyBorder="1" applyAlignment="1" applyProtection="1">
      <alignment horizontal="center" vertical="center" wrapText="1"/>
    </xf>
    <xf numFmtId="0" fontId="35" fillId="3" borderId="45" xfId="0" applyFont="1" applyFill="1" applyBorder="1" applyAlignment="1" applyProtection="1">
      <alignment horizontal="center" vertical="center" wrapText="1"/>
    </xf>
    <xf numFmtId="0" fontId="35" fillId="3" borderId="0" xfId="0" applyFont="1" applyFill="1" applyAlignment="1" applyProtection="1">
      <alignment horizontal="center" vertical="center" wrapText="1"/>
    </xf>
    <xf numFmtId="0" fontId="26" fillId="2" borderId="33" xfId="0" applyFont="1" applyFill="1" applyBorder="1" applyAlignment="1" applyProtection="1">
      <alignment horizontal="center" vertical="center"/>
    </xf>
    <xf numFmtId="176" fontId="33" fillId="2" borderId="40" xfId="0" applyNumberFormat="1" applyFont="1" applyFill="1" applyBorder="1" applyAlignment="1" applyProtection="1">
      <alignment horizontal="center" vertical="center" wrapText="1"/>
    </xf>
    <xf numFmtId="176" fontId="33" fillId="2" borderId="46" xfId="0" applyNumberFormat="1" applyFont="1" applyFill="1" applyBorder="1" applyAlignment="1" applyProtection="1">
      <alignment horizontal="center" vertical="center" wrapText="1"/>
    </xf>
    <xf numFmtId="0" fontId="14" fillId="0" borderId="0" xfId="0" applyFont="1" applyAlignment="1">
      <alignment horizontal="center" vertical="center"/>
    </xf>
    <xf numFmtId="176" fontId="33" fillId="2" borderId="45" xfId="0" applyNumberFormat="1" applyFont="1" applyFill="1" applyBorder="1" applyAlignment="1" applyProtection="1">
      <alignment horizontal="center" vertical="center" wrapText="1"/>
    </xf>
    <xf numFmtId="176" fontId="33" fillId="2" borderId="47" xfId="0" applyNumberFormat="1" applyFont="1" applyFill="1" applyBorder="1" applyAlignment="1" applyProtection="1">
      <alignment horizontal="center" vertical="center" wrapText="1"/>
    </xf>
    <xf numFmtId="0" fontId="25" fillId="0" borderId="47" xfId="0" applyFont="1" applyBorder="1" applyAlignment="1" applyProtection="1">
      <alignment horizontal="center" vertical="center"/>
    </xf>
    <xf numFmtId="0" fontId="25" fillId="0" borderId="48" xfId="0" applyFont="1" applyBorder="1" applyAlignment="1" applyProtection="1">
      <alignment horizontal="center" vertical="center"/>
    </xf>
    <xf numFmtId="0" fontId="14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5" fillId="0" borderId="0" xfId="0" applyNumberFormat="1" applyFont="1" applyAlignment="1">
      <alignment vertical="center"/>
    </xf>
    <xf numFmtId="0" fontId="14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10" fontId="39" fillId="0" borderId="0" xfId="0" applyNumberFormat="1" applyFont="1" applyAlignment="1">
      <alignment horizontal="center" vertical="center"/>
    </xf>
    <xf numFmtId="176" fontId="39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5" borderId="0" xfId="0" applyFont="1" applyFill="1" applyAlignment="1" applyProtection="1">
      <alignment horizontal="center" vertical="center" wrapText="1"/>
      <protection locked="0"/>
    </xf>
    <xf numFmtId="0" fontId="27" fillId="5" borderId="0" xfId="0" applyFont="1" applyFill="1" applyAlignment="1" applyProtection="1">
      <alignment horizontal="left" vertical="center" wrapText="1"/>
      <protection locked="0"/>
    </xf>
    <xf numFmtId="0" fontId="40" fillId="9" borderId="49" xfId="0" applyFont="1" applyFill="1" applyBorder="1" applyAlignment="1">
      <alignment horizontal="center" vertical="center"/>
    </xf>
    <xf numFmtId="0" fontId="40" fillId="9" borderId="50" xfId="0" applyFont="1" applyFill="1" applyBorder="1" applyAlignment="1">
      <alignment horizontal="center" vertical="center"/>
    </xf>
    <xf numFmtId="0" fontId="40" fillId="9" borderId="51" xfId="0" applyFont="1" applyFill="1" applyBorder="1" applyAlignment="1">
      <alignment horizontal="center" vertical="center"/>
    </xf>
    <xf numFmtId="0" fontId="20" fillId="9" borderId="52" xfId="0" applyFont="1" applyFill="1" applyBorder="1" applyAlignment="1">
      <alignment horizontal="center" vertical="center"/>
    </xf>
    <xf numFmtId="0" fontId="20" fillId="9" borderId="14" xfId="0" applyFont="1" applyFill="1" applyBorder="1" applyAlignment="1">
      <alignment horizontal="center" vertical="center"/>
    </xf>
    <xf numFmtId="10" fontId="20" fillId="9" borderId="14" xfId="0" applyNumberFormat="1" applyFont="1" applyFill="1" applyBorder="1" applyAlignment="1">
      <alignment horizontal="center" vertical="center"/>
    </xf>
    <xf numFmtId="176" fontId="20" fillId="9" borderId="53" xfId="0" applyNumberFormat="1" applyFont="1" applyFill="1" applyBorder="1" applyAlignment="1">
      <alignment horizontal="center" vertical="center"/>
    </xf>
    <xf numFmtId="0" fontId="39" fillId="0" borderId="52" xfId="0" applyFont="1" applyBorder="1" applyAlignment="1" applyProtection="1">
      <alignment horizontal="center" vertical="center"/>
      <protection locked="0"/>
    </xf>
    <xf numFmtId="0" fontId="39" fillId="10" borderId="14" xfId="0" applyFont="1" applyFill="1" applyBorder="1" applyAlignment="1" applyProtection="1">
      <alignment horizontal="center" vertical="center"/>
      <protection locked="0"/>
    </xf>
    <xf numFmtId="10" fontId="39" fillId="0" borderId="14" xfId="0" applyNumberFormat="1" applyFont="1" applyBorder="1" applyAlignment="1">
      <alignment horizontal="center" vertical="center"/>
    </xf>
    <xf numFmtId="176" fontId="39" fillId="0" borderId="53" xfId="0" applyNumberFormat="1" applyFont="1" applyBorder="1" applyAlignment="1">
      <alignment horizontal="center" vertical="center"/>
    </xf>
    <xf numFmtId="0" fontId="39" fillId="0" borderId="52" xfId="0" applyFont="1" applyBorder="1" applyAlignment="1">
      <alignment horizontal="center" vertical="center"/>
    </xf>
    <xf numFmtId="10" fontId="39" fillId="10" borderId="14" xfId="0" applyNumberFormat="1" applyFont="1" applyFill="1" applyBorder="1" applyAlignment="1" applyProtection="1">
      <alignment horizontal="center" vertical="center"/>
      <protection locked="0"/>
    </xf>
    <xf numFmtId="0" fontId="17" fillId="11" borderId="52" xfId="0" applyFont="1" applyFill="1" applyBorder="1" applyAlignment="1">
      <alignment horizontal="center" vertical="center"/>
    </xf>
    <xf numFmtId="0" fontId="17" fillId="11" borderId="14" xfId="0" applyFont="1" applyFill="1" applyBorder="1" applyAlignment="1">
      <alignment horizontal="center" vertical="center"/>
    </xf>
    <xf numFmtId="10" fontId="17" fillId="11" borderId="14" xfId="0" applyNumberFormat="1" applyFont="1" applyFill="1" applyBorder="1" applyAlignment="1">
      <alignment horizontal="center" vertical="center"/>
    </xf>
    <xf numFmtId="176" fontId="17" fillId="11" borderId="14" xfId="0" applyNumberFormat="1" applyFont="1" applyFill="1" applyBorder="1" applyAlignment="1">
      <alignment horizontal="center" vertical="center"/>
    </xf>
    <xf numFmtId="9" fontId="12" fillId="0" borderId="0" xfId="0" applyNumberFormat="1" applyFont="1" applyAlignment="1">
      <alignment horizontal="center" vertical="center"/>
    </xf>
    <xf numFmtId="0" fontId="20" fillId="9" borderId="53" xfId="0" applyFont="1" applyFill="1" applyBorder="1" applyAlignment="1">
      <alignment horizontal="center" vertical="center"/>
    </xf>
    <xf numFmtId="0" fontId="20" fillId="9" borderId="54" xfId="0" applyFont="1" applyFill="1" applyBorder="1" applyAlignment="1">
      <alignment horizontal="center" vertical="center"/>
    </xf>
    <xf numFmtId="0" fontId="20" fillId="9" borderId="55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11" borderId="56" xfId="0" applyFont="1" applyFill="1" applyBorder="1" applyAlignment="1">
      <alignment horizontal="center" vertical="center"/>
    </xf>
    <xf numFmtId="0" fontId="17" fillId="11" borderId="57" xfId="0" applyFont="1" applyFill="1" applyBorder="1" applyAlignment="1">
      <alignment horizontal="center" vertical="center"/>
    </xf>
    <xf numFmtId="10" fontId="17" fillId="11" borderId="57" xfId="0" applyNumberFormat="1" applyFont="1" applyFill="1" applyBorder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 wrapText="1"/>
    </xf>
    <xf numFmtId="10" fontId="12" fillId="0" borderId="0" xfId="0" applyNumberFormat="1" applyFont="1" applyAlignment="1">
      <alignment horizontal="center" vertical="center"/>
    </xf>
    <xf numFmtId="0" fontId="6" fillId="5" borderId="0" xfId="0" applyFont="1" applyFill="1" applyAlignment="1" applyProtection="1">
      <alignment vertical="center" wrapText="1"/>
      <protection locked="0"/>
    </xf>
    <xf numFmtId="0" fontId="40" fillId="9" borderId="0" xfId="0" applyFont="1" applyFill="1" applyAlignment="1">
      <alignment horizontal="center" vertical="center"/>
    </xf>
    <xf numFmtId="0" fontId="40" fillId="9" borderId="58" xfId="0" applyFont="1" applyFill="1" applyBorder="1" applyAlignment="1">
      <alignment horizontal="center" vertical="center"/>
    </xf>
    <xf numFmtId="176" fontId="25" fillId="11" borderId="58" xfId="0" applyNumberFormat="1" applyFont="1" applyFill="1" applyBorder="1" applyAlignment="1">
      <alignment horizontal="center" vertical="center"/>
    </xf>
    <xf numFmtId="0" fontId="27" fillId="5" borderId="0" xfId="0" applyFont="1" applyFill="1" applyAlignment="1" applyProtection="1">
      <alignment vertical="center" wrapText="1"/>
      <protection locked="0"/>
    </xf>
    <xf numFmtId="0" fontId="42" fillId="0" borderId="0" xfId="0" applyFont="1" applyAlignment="1">
      <alignment horizontal="center" vertical="center" wrapText="1"/>
    </xf>
    <xf numFmtId="0" fontId="27" fillId="10" borderId="59" xfId="0" applyFont="1" applyFill="1" applyBorder="1" applyAlignment="1" applyProtection="1">
      <alignment horizontal="center" vertical="center"/>
      <protection locked="0"/>
    </xf>
    <xf numFmtId="0" fontId="27" fillId="10" borderId="55" xfId="0" applyFont="1" applyFill="1" applyBorder="1" applyAlignment="1" applyProtection="1">
      <alignment horizontal="center" vertical="center"/>
      <protection locked="0"/>
    </xf>
    <xf numFmtId="0" fontId="27" fillId="10" borderId="60" xfId="0" applyFont="1" applyFill="1" applyBorder="1" applyAlignment="1" applyProtection="1">
      <alignment horizontal="center" vertical="center"/>
      <protection locked="0"/>
    </xf>
    <xf numFmtId="10" fontId="12" fillId="0" borderId="53" xfId="3" applyNumberFormat="1" applyFont="1" applyBorder="1" applyAlignment="1">
      <alignment horizontal="center" vertical="center"/>
    </xf>
    <xf numFmtId="0" fontId="27" fillId="0" borderId="0" xfId="0" applyFont="1" applyAlignment="1" applyProtection="1">
      <alignment horizontal="center" vertical="center"/>
    </xf>
    <xf numFmtId="0" fontId="43" fillId="0" borderId="0" xfId="0" applyFont="1" applyAlignment="1">
      <alignment vertical="center"/>
    </xf>
    <xf numFmtId="0" fontId="27" fillId="0" borderId="0" xfId="0" applyFont="1" applyAlignment="1" applyProtection="1">
      <alignment vertical="center"/>
    </xf>
    <xf numFmtId="0" fontId="39" fillId="0" borderId="61" xfId="0" applyFont="1" applyBorder="1" applyAlignment="1">
      <alignment horizontal="left" vertical="center" wrapText="1"/>
    </xf>
    <xf numFmtId="0" fontId="39" fillId="0" borderId="62" xfId="0" applyFont="1" applyBorder="1" applyAlignment="1">
      <alignment horizontal="left" vertical="center"/>
    </xf>
    <xf numFmtId="0" fontId="39" fillId="0" borderId="63" xfId="0" applyFont="1" applyBorder="1" applyAlignment="1">
      <alignment horizontal="left" vertical="center"/>
    </xf>
    <xf numFmtId="0" fontId="39" fillId="0" borderId="0" xfId="0" applyFont="1" applyAlignment="1">
      <alignment horizontal="left" vertical="center"/>
    </xf>
    <xf numFmtId="10" fontId="27" fillId="10" borderId="59" xfId="0" applyNumberFormat="1" applyFont="1" applyFill="1" applyBorder="1" applyAlignment="1" applyProtection="1">
      <alignment horizontal="center" vertical="center"/>
      <protection locked="0"/>
    </xf>
    <xf numFmtId="10" fontId="27" fillId="0" borderId="0" xfId="0" applyNumberFormat="1" applyFont="1" applyAlignment="1" applyProtection="1">
      <alignment horizontal="center" vertical="center"/>
    </xf>
    <xf numFmtId="0" fontId="39" fillId="0" borderId="64" xfId="0" applyFont="1" applyBorder="1" applyAlignment="1">
      <alignment horizontal="left" vertical="center"/>
    </xf>
    <xf numFmtId="0" fontId="39" fillId="0" borderId="65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20" fillId="9" borderId="66" xfId="0" applyFont="1" applyFill="1" applyBorder="1" applyAlignment="1">
      <alignment horizontal="center" vertical="center"/>
    </xf>
    <xf numFmtId="176" fontId="39" fillId="0" borderId="14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10" borderId="14" xfId="0" applyFont="1" applyFill="1" applyBorder="1" applyAlignment="1" applyProtection="1">
      <alignment horizontal="center" vertical="center"/>
      <protection locked="0"/>
    </xf>
    <xf numFmtId="0" fontId="27" fillId="0" borderId="60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5" fillId="11" borderId="67" xfId="0" applyFont="1" applyFill="1" applyBorder="1" applyAlignment="1">
      <alignment horizontal="center" vertical="center"/>
    </xf>
    <xf numFmtId="0" fontId="25" fillId="11" borderId="68" xfId="0" applyFont="1" applyFill="1" applyBorder="1" applyAlignment="1">
      <alignment horizontal="center" vertical="center"/>
    </xf>
    <xf numFmtId="0" fontId="25" fillId="11" borderId="67" xfId="0" applyFont="1" applyFill="1" applyBorder="1" applyAlignment="1">
      <alignment vertical="center"/>
    </xf>
    <xf numFmtId="0" fontId="25" fillId="11" borderId="0" xfId="0" applyFont="1" applyFill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176" fontId="44" fillId="0" borderId="59" xfId="0" applyNumberFormat="1" applyFont="1" applyBorder="1" applyAlignment="1">
      <alignment horizontal="center" vertical="center"/>
    </xf>
    <xf numFmtId="176" fontId="44" fillId="0" borderId="55" xfId="0" applyNumberFormat="1" applyFont="1" applyBorder="1" applyAlignment="1">
      <alignment horizontal="center" vertical="center"/>
    </xf>
    <xf numFmtId="176" fontId="44" fillId="0" borderId="60" xfId="0" applyNumberFormat="1" applyFont="1" applyBorder="1" applyAlignment="1">
      <alignment horizontal="center" vertical="center"/>
    </xf>
    <xf numFmtId="0" fontId="45" fillId="0" borderId="14" xfId="0" applyFont="1" applyBorder="1" applyAlignment="1">
      <alignment horizontal="left" vertical="center"/>
    </xf>
    <xf numFmtId="0" fontId="45" fillId="0" borderId="69" xfId="0" applyFont="1" applyBorder="1" applyAlignment="1">
      <alignment horizontal="left" vertical="center"/>
    </xf>
    <xf numFmtId="0" fontId="45" fillId="0" borderId="59" xfId="0" applyFont="1" applyBorder="1" applyAlignment="1">
      <alignment horizontal="center" vertical="center"/>
    </xf>
    <xf numFmtId="0" fontId="45" fillId="0" borderId="55" xfId="0" applyFont="1" applyBorder="1" applyAlignment="1">
      <alignment horizontal="center" vertical="center"/>
    </xf>
    <xf numFmtId="0" fontId="25" fillId="0" borderId="14" xfId="0" applyFont="1" applyBorder="1" applyAlignment="1">
      <alignment vertical="center"/>
    </xf>
    <xf numFmtId="0" fontId="6" fillId="5" borderId="70" xfId="0" applyFont="1" applyFill="1" applyBorder="1" applyAlignment="1" applyProtection="1">
      <alignment vertical="center" wrapText="1"/>
      <protection locked="0"/>
    </xf>
    <xf numFmtId="176" fontId="25" fillId="11" borderId="0" xfId="0" applyNumberFormat="1" applyFont="1" applyFill="1" applyAlignment="1">
      <alignment horizontal="center" vertical="center"/>
    </xf>
    <xf numFmtId="176" fontId="25" fillId="11" borderId="58" xfId="0" applyNumberFormat="1" applyFont="1" applyFill="1" applyBorder="1" applyAlignment="1">
      <alignment horizontal="center" vertical="center" wrapText="1"/>
    </xf>
    <xf numFmtId="0" fontId="46" fillId="9" borderId="58" xfId="0" applyFont="1" applyFill="1" applyBorder="1" applyAlignment="1">
      <alignment horizontal="center" vertical="center" wrapText="1"/>
    </xf>
    <xf numFmtId="0" fontId="46" fillId="9" borderId="0" xfId="0" applyFont="1" applyFill="1" applyAlignment="1">
      <alignment horizontal="center" vertical="center" wrapText="1"/>
    </xf>
    <xf numFmtId="0" fontId="46" fillId="9" borderId="70" xfId="0" applyFont="1" applyFill="1" applyBorder="1" applyAlignment="1">
      <alignment horizontal="center" vertical="center" wrapText="1"/>
    </xf>
    <xf numFmtId="0" fontId="46" fillId="9" borderId="0" xfId="0" applyFont="1" applyFill="1" applyAlignment="1">
      <alignment horizontal="center" vertical="center"/>
    </xf>
    <xf numFmtId="0" fontId="46" fillId="9" borderId="70" xfId="0" applyFont="1" applyFill="1" applyBorder="1" applyAlignment="1">
      <alignment horizontal="center" vertical="center"/>
    </xf>
    <xf numFmtId="0" fontId="27" fillId="5" borderId="70" xfId="0" applyFont="1" applyFill="1" applyBorder="1" applyAlignment="1" applyProtection="1">
      <alignment vertical="center" wrapText="1"/>
      <protection locked="0"/>
    </xf>
    <xf numFmtId="0" fontId="47" fillId="9" borderId="0" xfId="0" applyFont="1" applyFill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4" borderId="52" xfId="0" applyFont="1" applyFill="1" applyBorder="1" applyAlignment="1" applyProtection="1">
      <alignment horizontal="center" vertical="center"/>
      <protection locked="0"/>
    </xf>
    <xf numFmtId="0" fontId="39" fillId="0" borderId="14" xfId="0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>
      <alignment vertical="center"/>
    </xf>
    <xf numFmtId="0" fontId="39" fillId="4" borderId="52" xfId="0" applyFont="1" applyFill="1" applyBorder="1" applyAlignment="1">
      <alignment horizontal="center" vertical="center"/>
    </xf>
    <xf numFmtId="10" fontId="39" fillId="0" borderId="14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14" fillId="4" borderId="52" xfId="0" applyFont="1" applyFill="1" applyBorder="1" applyAlignment="1">
      <alignment horizontal="center" vertical="center"/>
    </xf>
    <xf numFmtId="0" fontId="12" fillId="0" borderId="0" xfId="0" applyFont="1" applyAlignment="1" applyProtection="1">
      <alignment horizontal="center" vertical="center" wrapText="1"/>
      <protection locked="0"/>
    </xf>
    <xf numFmtId="177" fontId="10" fillId="0" borderId="0" xfId="0" applyNumberFormat="1" applyFont="1" applyAlignment="1">
      <alignment horizontal="center" vertical="center"/>
    </xf>
    <xf numFmtId="0" fontId="17" fillId="0" borderId="69" xfId="0" applyFont="1" applyBorder="1" applyAlignment="1">
      <alignment horizontal="center" vertical="center"/>
    </xf>
    <xf numFmtId="0" fontId="48" fillId="0" borderId="14" xfId="0" applyFont="1" applyBorder="1" applyAlignment="1">
      <alignment horizontal="left" vertical="center"/>
    </xf>
    <xf numFmtId="0" fontId="48" fillId="0" borderId="59" xfId="0" applyFont="1" applyBorder="1" applyAlignment="1">
      <alignment horizontal="left" vertical="center"/>
    </xf>
    <xf numFmtId="0" fontId="44" fillId="0" borderId="71" xfId="0" applyFont="1" applyBorder="1" applyAlignment="1">
      <alignment horizontal="center" vertical="center" wrapText="1"/>
    </xf>
    <xf numFmtId="0" fontId="44" fillId="0" borderId="72" xfId="0" applyFont="1" applyBorder="1" applyAlignment="1">
      <alignment horizontal="center" vertical="center"/>
    </xf>
    <xf numFmtId="0" fontId="44" fillId="0" borderId="58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8" fillId="0" borderId="69" xfId="0" applyFont="1" applyBorder="1" applyAlignment="1">
      <alignment horizontal="left" vertical="center"/>
    </xf>
    <xf numFmtId="0" fontId="44" fillId="0" borderId="73" xfId="0" applyFont="1" applyBorder="1" applyAlignment="1">
      <alignment horizontal="center" vertical="center"/>
    </xf>
    <xf numFmtId="0" fontId="44" fillId="0" borderId="68" xfId="0" applyFont="1" applyBorder="1" applyAlignment="1">
      <alignment horizontal="center" vertical="center"/>
    </xf>
    <xf numFmtId="0" fontId="45" fillId="0" borderId="6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1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FF0000"/>
      </font>
      <fill>
        <patternFill patternType="solid">
          <bgColor rgb="FFFFFF00"/>
        </patternFill>
      </fill>
    </dxf>
    <dxf>
      <font>
        <color rgb="FFFF0000"/>
      </font>
    </dxf>
    <dxf>
      <font>
        <color rgb="FFFFC000"/>
      </font>
    </dxf>
    <dxf>
      <font>
        <color rgb="FF7030A0"/>
      </font>
    </dxf>
    <dxf>
      <font>
        <color rgb="FF00B0F0"/>
      </font>
    </dxf>
    <dxf>
      <font>
        <color rgb="FF00B050"/>
      </font>
    </dxf>
    <dxf>
      <font>
        <color rgb="FFFF0000"/>
      </font>
      <fill>
        <patternFill patternType="solid">
          <bgColor rgb="FFFFFF00"/>
        </patternFill>
      </fill>
    </dxf>
    <dxf>
      <font>
        <color rgb="FF0070C0"/>
      </font>
    </dxf>
  </dxfs>
  <tableStyles count="0" defaultTableStyle="TableStyleMedium2" defaultPivotStyle="PivotStyleLight16"/>
  <colors>
    <mruColors>
      <color rgb="0003FBED"/>
      <color rgb="0000A2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223631737583631"/>
          <c:y val="0.10506845315273"/>
          <c:w val="0.962377084224027"/>
          <c:h val="0.7278214138073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"第一套内功词条"</c:f>
              <c:strCache>
                <c:ptCount val="1"/>
                <c:pt idx="0">
                  <c:v>第一套内功词条</c:v>
                </c:pt>
              </c:strCache>
            </c:strRef>
          </c:tx>
          <c:spPr>
            <a:gradFill>
              <a:gsLst>
                <a:gs pos="50000">
                  <a:schemeClr val="accent1"/>
                </a:gs>
                <a:gs pos="0">
                  <a:schemeClr val="accent1">
                    <a:lumMod val="25000"/>
                    <a:lumOff val="75000"/>
                  </a:schemeClr>
                </a:gs>
                <a:gs pos="100000">
                  <a:schemeClr val="accent1">
                    <a:lumMod val="85000"/>
                  </a:schemeClr>
                </a:gs>
              </a:gsLst>
              <a:lin ang="5400000" scaled="1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1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'[2]4.1.1标准内功计算器'!$W$15:$W$23</c:f>
              <c:strCache>
                <c:ptCount val="9"/>
                <c:pt idx="0">
                  <c:v>攻击</c:v>
                </c:pt>
                <c:pt idx="1">
                  <c:v>力量/气海</c:v>
                </c:pt>
                <c:pt idx="2">
                  <c:v>最大+最小攻</c:v>
                </c:pt>
                <c:pt idx="3">
                  <c:v>破防</c:v>
                </c:pt>
                <c:pt idx="4">
                  <c:v>流派克制%</c:v>
                </c:pt>
                <c:pt idx="5">
                  <c:v>会心</c:v>
                </c:pt>
                <c:pt idx="6">
                  <c:v>身法</c:v>
                </c:pt>
                <c:pt idx="7">
                  <c:v>根骨+耐力</c:v>
                </c:pt>
                <c:pt idx="8">
                  <c:v>赛年强化</c:v>
                </c:pt>
              </c:strCache>
            </c:strRef>
          </c:cat>
          <c:val>
            <c:numRef>
              <c:f>'4.1.1.3抗拆内功计算器'!$O$17:$O$25</c:f>
              <c:numCache>
                <c:formatCode>General</c:formatCode>
                <c:ptCount val="9"/>
                <c:pt idx="0">
                  <c:v>183</c:v>
                </c:pt>
                <c:pt idx="1">
                  <c:v>14</c:v>
                </c:pt>
                <c:pt idx="2">
                  <c:v>213</c:v>
                </c:pt>
                <c:pt idx="3">
                  <c:v>56</c:v>
                </c:pt>
                <c:pt idx="4" c:formatCode="0.00%">
                  <c:v>0.012</c:v>
                </c:pt>
                <c:pt idx="5">
                  <c:v>184</c:v>
                </c:pt>
                <c:pt idx="6">
                  <c:v>18</c:v>
                </c:pt>
                <c:pt idx="7">
                  <c:v>39</c:v>
                </c:pt>
                <c:pt idx="8" c:formatCode="0.00%">
                  <c:v>0</c:v>
                </c:pt>
              </c:numCache>
            </c:numRef>
          </c:val>
        </c:ser>
        <c:ser>
          <c:idx val="1"/>
          <c:order val="1"/>
          <c:tx>
            <c:strRef>
              <c:f>"第二套内功词条"</c:f>
              <c:strCache>
                <c:ptCount val="1"/>
                <c:pt idx="0">
                  <c:v>第二套内功词条</c:v>
                </c:pt>
              </c:strCache>
            </c:strRef>
          </c:tx>
          <c:spPr>
            <a:gradFill>
              <a:gsLst>
                <a:gs pos="42000">
                  <a:srgbClr val="EC5763"/>
                </a:gs>
                <a:gs pos="0">
                  <a:srgbClr val="F28F97"/>
                </a:gs>
                <a:gs pos="100000">
                  <a:srgbClr val="E51E2E"/>
                </a:gs>
              </a:gsLst>
              <a:lin ang="5400000" scaled="1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1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'[2]4.1.1标准内功计算器'!$W$15:$W$23</c:f>
              <c:strCache>
                <c:ptCount val="9"/>
                <c:pt idx="0">
                  <c:v>攻击</c:v>
                </c:pt>
                <c:pt idx="1">
                  <c:v>力量/气海</c:v>
                </c:pt>
                <c:pt idx="2">
                  <c:v>最大+最小攻</c:v>
                </c:pt>
                <c:pt idx="3">
                  <c:v>破防</c:v>
                </c:pt>
                <c:pt idx="4">
                  <c:v>流派克制%</c:v>
                </c:pt>
                <c:pt idx="5">
                  <c:v>会心</c:v>
                </c:pt>
                <c:pt idx="6">
                  <c:v>身法</c:v>
                </c:pt>
                <c:pt idx="7">
                  <c:v>根骨+耐力</c:v>
                </c:pt>
                <c:pt idx="8">
                  <c:v>赛年强化</c:v>
                </c:pt>
              </c:strCache>
            </c:strRef>
          </c:cat>
          <c:val>
            <c:numRef>
              <c:f>'4.1.1.3抗拆内功计算器'!$O$31:$O$39</c:f>
              <c:numCache>
                <c:formatCode>General</c:formatCode>
                <c:ptCount val="9"/>
                <c:pt idx="2">
                  <c:v>186</c:v>
                </c:pt>
                <c:pt idx="3">
                  <c:v>168</c:v>
                </c:pt>
                <c:pt idx="5">
                  <c:v>342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156994391"/>
        <c:axId val="704697558"/>
      </c:barChart>
      <c:catAx>
        <c:axId val="156994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4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704697558"/>
        <c:crosses val="autoZero"/>
        <c:auto val="1"/>
        <c:lblAlgn val="ctr"/>
        <c:lblOffset val="100"/>
        <c:noMultiLvlLbl val="0"/>
      </c:catAx>
      <c:valAx>
        <c:axId val="704697558"/>
        <c:scaling>
          <c:orientation val="minMax"/>
        </c:scaling>
        <c:delete val="1"/>
        <c:axPos val="l"/>
        <c:numFmt formatCode="General" sourceLinked="1"/>
        <c:majorTickMark val="none"/>
        <c:minorTickMark val="in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56994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6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6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600" b="1" i="0" u="none" strike="noStrike" kern="1200" cap="none" spc="0" normalizeH="0" baseline="0">
              <a:solidFill>
                <a:schemeClr val="tx1"/>
              </a:solidFill>
              <a:uFill>
                <a:solidFill>
                  <a:schemeClr val="tx1">
                    <a:lumMod val="65000"/>
                    <a:lumOff val="35000"/>
                  </a:schemeClr>
                </a:solidFill>
              </a:u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fd8df7f-3fb8-4ac8-beab-90e5dbb52e9a}"/>
      </c:ext>
    </c:extLst>
  </c:chart>
  <c:spPr>
    <a:noFill/>
    <a:ln w="12700" cap="flat" cmpd="sng" algn="ctr">
      <a:solidFill>
        <a:schemeClr val="accent1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zh-CN">
          <a:solidFill>
            <a:schemeClr val="tx1"/>
          </a:solidFill>
          <a:latin typeface="+mn-lt"/>
          <a:ea typeface="+mn-ea"/>
          <a:cs typeface="+mn-cs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21</xdr:col>
      <xdr:colOff>114935</xdr:colOff>
      <xdr:row>14</xdr:row>
      <xdr:rowOff>3175</xdr:rowOff>
    </xdr:from>
    <xdr:to>
      <xdr:col>30</xdr:col>
      <xdr:colOff>252095</xdr:colOff>
      <xdr:row>37</xdr:row>
      <xdr:rowOff>127635</xdr:rowOff>
    </xdr:to>
    <xdr:graphicFrame>
      <xdr:nvGraphicFramePr>
        <xdr:cNvPr id="2" name="图表 1"/>
        <xdr:cNvGraphicFramePr/>
      </xdr:nvGraphicFramePr>
      <xdr:xfrm>
        <a:off x="23613745" y="4800600"/>
        <a:ext cx="9083675" cy="6534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4494;&#20449;&#32842;&#22825;&#35760;&#24405;\xwechat_files\hyb596949408_0d56\msg\file\2026-07\&#25286;&#22612;&#20869;&#21151;&#35745;&#31639;&#22120;4.1.1.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4494;&#20449;&#32842;&#22825;&#35760;&#24405;\xwechat_files\hyb596949408_0d56\msg\file\2026-07\&#25286;&#22612;&#20869;&#21151;&#35745;&#31639;&#22120;4.1.1&#65288;&#21103;&#26412;1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4.1.1标准内功计算器"/>
      <sheetName val="计算器"/>
      <sheetName val="pvp简略"/>
      <sheetName val="计算步骤"/>
      <sheetName val="更新说明"/>
    </sheetNames>
    <sheetDataSet>
      <sheetData sheetId="0"/>
      <sheetData sheetId="1">
        <row r="13">
          <cell r="F13">
            <v>0.052</v>
          </cell>
        </row>
        <row r="20">
          <cell r="I20" t="str">
            <v>灼星贯日</v>
          </cell>
          <cell r="J20">
            <v>0.04</v>
          </cell>
          <cell r="K20">
            <v>0.0745454545454545</v>
          </cell>
          <cell r="L20">
            <v>0.0372727272727273</v>
          </cell>
        </row>
        <row r="21">
          <cell r="I21" t="str">
            <v>承影锋烁</v>
          </cell>
        </row>
        <row r="21">
          <cell r="K21">
            <v>0.0661712991616497</v>
          </cell>
          <cell r="L21">
            <v>0.0297770846227424</v>
          </cell>
        </row>
        <row r="22">
          <cell r="I22" t="str">
            <v>日月两仪</v>
          </cell>
        </row>
        <row r="22">
          <cell r="K22">
            <v>0.0530503978779841</v>
          </cell>
          <cell r="L22">
            <v>0.0238726790450928</v>
          </cell>
        </row>
        <row r="23">
          <cell r="I23" t="str">
            <v>绝电惊沙</v>
          </cell>
          <cell r="J23">
            <v>0.058</v>
          </cell>
          <cell r="K23">
            <v>0.058</v>
          </cell>
          <cell r="L23">
            <v>0.0261</v>
          </cell>
        </row>
        <row r="24">
          <cell r="F24">
            <v>0.172727272727273</v>
          </cell>
        </row>
        <row r="24">
          <cell r="I24" t="str">
            <v>五蕴谣</v>
          </cell>
        </row>
        <row r="24">
          <cell r="K24">
            <v>0.0439465706707086</v>
          </cell>
          <cell r="L24">
            <v>0.0142099280030315</v>
          </cell>
        </row>
        <row r="25">
          <cell r="I25" t="str">
            <v>破釜</v>
          </cell>
        </row>
        <row r="25">
          <cell r="K25">
            <v>0.0512236767216847</v>
          </cell>
          <cell r="L25">
            <v>0.0153671030165054</v>
          </cell>
        </row>
        <row r="26">
          <cell r="I26" t="str">
            <v>击衰</v>
          </cell>
        </row>
        <row r="26">
          <cell r="K26">
            <v>0.045</v>
          </cell>
          <cell r="L26">
            <v>0.0135</v>
          </cell>
        </row>
        <row r="27">
          <cell r="I27" t="str">
            <v>贯山月</v>
          </cell>
        </row>
        <row r="27">
          <cell r="K27">
            <v>0.0275735294117647</v>
          </cell>
          <cell r="L27">
            <v>0.00827205882352941</v>
          </cell>
        </row>
        <row r="28">
          <cell r="I28" t="str">
            <v>惊羽</v>
          </cell>
        </row>
        <row r="28">
          <cell r="K28">
            <v>0.0367647058823529</v>
          </cell>
          <cell r="L28">
            <v>0.0110294117647059</v>
          </cell>
        </row>
        <row r="29">
          <cell r="I29" t="str">
            <v>锻寒芒</v>
          </cell>
        </row>
        <row r="29">
          <cell r="K29">
            <v>0.0468545588928686</v>
          </cell>
          <cell r="L29">
            <v>0.0140563676678606</v>
          </cell>
        </row>
        <row r="30">
          <cell r="I30" t="str">
            <v>破重云</v>
          </cell>
        </row>
        <row r="30">
          <cell r="K30">
            <v>0.0433224043715847</v>
          </cell>
          <cell r="L30">
            <v>0.0129967213114754</v>
          </cell>
        </row>
        <row r="31">
          <cell r="I31" t="str">
            <v>凌穹</v>
          </cell>
        </row>
        <row r="31">
          <cell r="K31">
            <v>0.045</v>
          </cell>
          <cell r="L31">
            <v>0.0135</v>
          </cell>
        </row>
        <row r="32">
          <cell r="I32" t="str">
            <v>沧浪行</v>
          </cell>
        </row>
        <row r="32">
          <cell r="K32">
            <v>0.0511557408109132</v>
          </cell>
          <cell r="L32">
            <v>0.015346722243274</v>
          </cell>
        </row>
        <row r="33">
          <cell r="I33" t="str">
            <v>裁锋</v>
          </cell>
        </row>
        <row r="33">
          <cell r="K33">
            <v>0.05</v>
          </cell>
          <cell r="L33">
            <v>0.015</v>
          </cell>
        </row>
        <row r="34">
          <cell r="I34" t="str">
            <v>众妙</v>
          </cell>
          <cell r="J34">
            <v>0.04</v>
          </cell>
          <cell r="K34">
            <v>0.055</v>
          </cell>
          <cell r="L34">
            <v>0.0165</v>
          </cell>
        </row>
        <row r="35">
          <cell r="I35" t="str">
            <v>斩精</v>
          </cell>
        </row>
        <row r="35">
          <cell r="K35">
            <v>0.045</v>
          </cell>
          <cell r="L35">
            <v>0.0135</v>
          </cell>
        </row>
        <row r="36">
          <cell r="I36" t="str">
            <v>楚狂歌</v>
          </cell>
        </row>
        <row r="36">
          <cell r="K36">
            <v>0.0522243713733076</v>
          </cell>
          <cell r="L36">
            <v>0.0156673114119923</v>
          </cell>
        </row>
        <row r="37">
          <cell r="I37" t="str">
            <v>焚刃</v>
          </cell>
        </row>
        <row r="37">
          <cell r="K37">
            <v>0.0661764705882353</v>
          </cell>
        </row>
        <row r="38">
          <cell r="I38" t="str">
            <v>纳百观</v>
          </cell>
        </row>
        <row r="38">
          <cell r="K38">
            <v>0.0200892857142857</v>
          </cell>
          <cell r="L38">
            <v>0.00602678571428571</v>
          </cell>
        </row>
        <row r="64">
          <cell r="L64">
            <v>0.7</v>
          </cell>
          <cell r="M64">
            <v>0.35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更新说明"/>
      <sheetName val="4.1.1标准内功计算器"/>
      <sheetName val="计算器"/>
      <sheetName val="计算步骤"/>
      <sheetName val="pvp简略"/>
    </sheetNames>
    <sheetDataSet>
      <sheetData sheetId="0"/>
      <sheetData sheetId="1">
        <row r="15">
          <cell r="W15" t="str">
            <v>攻击</v>
          </cell>
        </row>
        <row r="16">
          <cell r="W16" t="str">
            <v>力量/气海</v>
          </cell>
        </row>
        <row r="17">
          <cell r="W17" t="str">
            <v>最大+最小攻</v>
          </cell>
        </row>
        <row r="18">
          <cell r="W18" t="str">
            <v>破防</v>
          </cell>
        </row>
        <row r="19">
          <cell r="W19" t="str">
            <v>流派克制%</v>
          </cell>
        </row>
        <row r="20">
          <cell r="W20" t="str">
            <v>会心</v>
          </cell>
        </row>
        <row r="21">
          <cell r="W21" t="str">
            <v>身法</v>
          </cell>
        </row>
        <row r="22">
          <cell r="W22" t="str">
            <v>根骨+耐力</v>
          </cell>
        </row>
        <row r="23">
          <cell r="W23" t="str">
            <v>赛年强化</v>
          </cell>
        </row>
      </sheetData>
      <sheetData sheetId="2">
        <row r="37">
          <cell r="F37" t="str">
            <v>有</v>
          </cell>
        </row>
        <row r="43">
          <cell r="K43" t="str">
            <v>灼星贯日</v>
          </cell>
          <cell r="L43" t="str">
            <v>普通</v>
          </cell>
        </row>
        <row r="44">
          <cell r="K44" t="str">
            <v>承影锋烁</v>
          </cell>
          <cell r="L44" t="str">
            <v>普通</v>
          </cell>
        </row>
        <row r="45">
          <cell r="K45" t="str">
            <v>绝电惊沙</v>
          </cell>
          <cell r="L45" t="str">
            <v>灵韵</v>
          </cell>
        </row>
        <row r="46">
          <cell r="K46" t="str">
            <v>凌穹</v>
          </cell>
          <cell r="L46" t="str">
            <v>普通</v>
          </cell>
        </row>
        <row r="47">
          <cell r="K47" t="str">
            <v>锻寒芒</v>
          </cell>
          <cell r="L47" t="str">
            <v>普通</v>
          </cell>
        </row>
        <row r="48">
          <cell r="K48" t="str">
            <v>破重云</v>
          </cell>
          <cell r="L48" t="str">
            <v>普通</v>
          </cell>
        </row>
        <row r="69">
          <cell r="B69" t="str">
            <v>169pvp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9"/>
  <sheetViews>
    <sheetView zoomScale="85" zoomScaleNormal="85" topLeftCell="C1" workbookViewId="0">
      <selection activeCell="W13" sqref="W13:Y16"/>
    </sheetView>
  </sheetViews>
  <sheetFormatPr defaultColWidth="9" defaultRowHeight="20.25"/>
  <cols>
    <col min="1" max="1" width="2.25" style="159" customWidth="1"/>
    <col min="2" max="2" width="30.05" style="160" customWidth="1"/>
    <col min="3" max="3" width="10.6416666666667" style="160"/>
    <col min="4" max="4" width="11.275" style="161" customWidth="1"/>
    <col min="5" max="5" width="9.66666666666667" style="162"/>
    <col min="6" max="6" width="2.63333333333333" style="58" customWidth="1"/>
    <col min="7" max="7" width="29.5583333333333" style="58" customWidth="1"/>
    <col min="8" max="8" width="12.1083333333333" style="58"/>
    <col min="9" max="9" width="11.275" style="58" customWidth="1"/>
    <col min="10" max="10" width="12.75" style="58" customWidth="1"/>
    <col min="11" max="11" width="11.4416666666667" style="58" customWidth="1"/>
    <col min="12" max="12" width="9" style="58"/>
    <col min="13" max="13" width="14.775" style="58" customWidth="1"/>
    <col min="14" max="15" width="14.6666666666667" style="58" customWidth="1"/>
    <col min="16" max="16" width="12.55" style="58" customWidth="1"/>
    <col min="17" max="17" width="15.6666666666667" style="58" customWidth="1"/>
    <col min="18" max="18" width="13.5916666666667" style="58" customWidth="1"/>
    <col min="19" max="19" width="11.9666666666667" style="58" customWidth="1"/>
    <col min="20" max="20" width="16.15" style="58" customWidth="1"/>
    <col min="21" max="22" width="11.9666666666667" style="58" customWidth="1"/>
    <col min="23" max="23" width="14.3666666666667" style="58" customWidth="1"/>
    <col min="24" max="24" width="11.9666666666667" style="58" customWidth="1"/>
    <col min="25" max="25" width="20.1333333333333" style="58" customWidth="1"/>
    <col min="26" max="27" width="11.9666666666667" style="58" customWidth="1"/>
    <col min="28" max="28" width="12.4083333333333" style="58" customWidth="1"/>
    <col min="29" max="29" width="14.65" style="58" customWidth="1"/>
    <col min="30" max="30" width="13.5833333333333" style="58" customWidth="1"/>
    <col min="31" max="31" width="11.6833333333333" style="58" customWidth="1"/>
    <col min="32" max="16384" width="9" style="58"/>
  </cols>
  <sheetData>
    <row r="1" s="158" customFormat="1" ht="36" customHeight="1" spans="1:33">
      <c r="A1" s="163"/>
      <c r="B1" s="164" t="s">
        <v>0</v>
      </c>
      <c r="C1" s="164"/>
      <c r="D1" s="164"/>
      <c r="E1" s="164"/>
      <c r="F1" s="164"/>
      <c r="G1" s="164"/>
      <c r="H1" s="164"/>
      <c r="I1" s="164"/>
      <c r="J1" s="164"/>
      <c r="K1" s="164"/>
      <c r="L1" s="195"/>
      <c r="M1" s="58"/>
      <c r="N1" s="58"/>
      <c r="O1" s="58"/>
      <c r="P1" s="196" t="s">
        <v>1</v>
      </c>
      <c r="Q1" s="196"/>
      <c r="R1" s="196" t="s">
        <v>2</v>
      </c>
      <c r="S1" s="196"/>
      <c r="U1" s="195"/>
      <c r="V1" s="237"/>
      <c r="W1" s="163"/>
      <c r="X1" s="58"/>
      <c r="Y1" s="58"/>
      <c r="Z1" s="58"/>
      <c r="AA1" s="196" t="s">
        <v>3</v>
      </c>
      <c r="AB1" s="196"/>
      <c r="AC1" s="196" t="s">
        <v>2</v>
      </c>
      <c r="AD1" s="196"/>
      <c r="AF1" s="195"/>
      <c r="AG1" s="237"/>
    </row>
    <row r="2" s="158" customFormat="1" ht="46" customHeight="1" spans="1:33">
      <c r="A2" s="163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95"/>
      <c r="M2" s="197" t="s">
        <v>4</v>
      </c>
      <c r="N2" s="196"/>
      <c r="O2" s="196"/>
      <c r="P2" s="198">
        <f>E16+E28</f>
        <v>3445</v>
      </c>
      <c r="Q2" s="238"/>
      <c r="R2" s="239" t="str">
        <f>VLOOKUP(P2,$AC$38:$AD$44,2,TRUE)</f>
        <v>盼之吧没开玩笑</v>
      </c>
      <c r="S2" s="238"/>
      <c r="T2" s="240" t="s">
        <v>5</v>
      </c>
      <c r="U2" s="241"/>
      <c r="V2" s="242"/>
      <c r="W2" s="163"/>
      <c r="X2" s="197" t="s">
        <v>4</v>
      </c>
      <c r="Y2" s="196"/>
      <c r="Z2" s="196"/>
      <c r="AA2" s="198">
        <f>E16</f>
        <v>3445</v>
      </c>
      <c r="AB2" s="238"/>
      <c r="AC2" s="239" t="str">
        <f>VLOOKUP(AA2,$AC$47:$AD$53,2,TRUE)</f>
        <v>盼之吧没开玩笑</v>
      </c>
      <c r="AD2" s="238"/>
      <c r="AE2" s="240" t="s">
        <v>5</v>
      </c>
      <c r="AF2" s="241"/>
      <c r="AG2" s="242"/>
    </row>
    <row r="3" s="158" customFormat="1" ht="47" customHeight="1" spans="1:33">
      <c r="A3" s="163"/>
      <c r="B3" s="165" t="s">
        <v>6</v>
      </c>
      <c r="C3" s="165"/>
      <c r="D3" s="165"/>
      <c r="E3" s="165"/>
      <c r="F3" s="165"/>
      <c r="G3" s="165"/>
      <c r="H3" s="165"/>
      <c r="I3" s="165"/>
      <c r="J3" s="165"/>
      <c r="K3" s="165"/>
      <c r="L3" s="195"/>
      <c r="M3" s="197" t="s">
        <v>7</v>
      </c>
      <c r="N3" s="196"/>
      <c r="O3" s="196"/>
      <c r="P3" s="198">
        <f>J16+J28</f>
        <v>5070.27272727273</v>
      </c>
      <c r="Q3" s="238"/>
      <c r="R3" s="239" t="str">
        <f>VLOOKUP(P3,$AC$38:$AD$44,2,TRUE)</f>
        <v>盼之吧没开玩笑</v>
      </c>
      <c r="S3" s="238"/>
      <c r="T3" s="240" t="s">
        <v>8</v>
      </c>
      <c r="U3" s="243"/>
      <c r="V3" s="244"/>
      <c r="W3" s="163"/>
      <c r="X3" s="197" t="s">
        <v>7</v>
      </c>
      <c r="Y3" s="196"/>
      <c r="Z3" s="196"/>
      <c r="AA3" s="198">
        <f>J16</f>
        <v>5070.27272727273</v>
      </c>
      <c r="AB3" s="238"/>
      <c r="AC3" s="239" t="str">
        <f>VLOOKUP(AA3,$AC$47:$AD$53,2,TRUE)</f>
        <v>饮水机管理员</v>
      </c>
      <c r="AD3" s="238"/>
      <c r="AE3" s="240" t="s">
        <v>8</v>
      </c>
      <c r="AF3" s="243"/>
      <c r="AG3" s="244"/>
    </row>
    <row r="4" s="58" customFormat="1" ht="33" customHeight="1" spans="1:31">
      <c r="A4" s="159"/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245"/>
      <c r="W4" s="159"/>
      <c r="Y4" s="159"/>
      <c r="Z4" s="159"/>
      <c r="AA4" s="159"/>
      <c r="AE4" s="269"/>
    </row>
    <row r="5" s="58" customFormat="1" ht="22.5" spans="1:27">
      <c r="A5" s="159"/>
      <c r="B5" s="166" t="s">
        <v>9</v>
      </c>
      <c r="C5" s="167"/>
      <c r="D5" s="167"/>
      <c r="E5" s="168"/>
      <c r="F5" s="159"/>
      <c r="G5" s="166" t="s">
        <v>10</v>
      </c>
      <c r="H5" s="167"/>
      <c r="I5" s="167"/>
      <c r="J5" s="167"/>
      <c r="K5" s="168"/>
      <c r="L5" s="200" t="s">
        <v>11</v>
      </c>
      <c r="M5" s="196" t="s">
        <v>12</v>
      </c>
      <c r="N5" s="196"/>
      <c r="O5" s="196"/>
      <c r="P5" s="200" t="s">
        <v>11</v>
      </c>
      <c r="Q5" s="246" t="s">
        <v>13</v>
      </c>
      <c r="R5" s="246"/>
      <c r="S5" s="246"/>
      <c r="T5" s="246" t="s">
        <v>14</v>
      </c>
      <c r="U5" s="246"/>
      <c r="V5" s="246"/>
      <c r="W5" s="226" t="s">
        <v>15</v>
      </c>
      <c r="X5" s="226"/>
      <c r="Y5" s="226"/>
      <c r="Z5" s="159"/>
      <c r="AA5" s="159"/>
    </row>
    <row r="6" s="58" customFormat="1" ht="22.5" spans="1:26">
      <c r="A6" s="159"/>
      <c r="B6" s="169" t="s">
        <v>16</v>
      </c>
      <c r="C6" s="170" t="s">
        <v>17</v>
      </c>
      <c r="D6" s="171" t="s">
        <v>18</v>
      </c>
      <c r="E6" s="172" t="s">
        <v>19</v>
      </c>
      <c r="G6" s="169" t="s">
        <v>20</v>
      </c>
      <c r="H6" s="170" t="s">
        <v>17</v>
      </c>
      <c r="I6" s="171" t="s">
        <v>18</v>
      </c>
      <c r="J6" s="172" t="s">
        <v>21</v>
      </c>
      <c r="K6" s="172" t="s">
        <v>22</v>
      </c>
      <c r="L6" s="200"/>
      <c r="M6" s="201" t="s">
        <v>23</v>
      </c>
      <c r="N6" s="202"/>
      <c r="O6" s="203"/>
      <c r="P6" s="200"/>
      <c r="Q6" s="246"/>
      <c r="R6" s="246"/>
      <c r="S6" s="246"/>
      <c r="T6" s="246"/>
      <c r="U6" s="246"/>
      <c r="V6" s="246"/>
      <c r="W6" s="247"/>
      <c r="X6" s="219"/>
      <c r="Y6" s="219"/>
      <c r="Z6" s="219"/>
    </row>
    <row r="7" s="58" customFormat="1" ht="23.25" spans="1:30">
      <c r="A7" s="159"/>
      <c r="B7" s="173" t="s">
        <v>24</v>
      </c>
      <c r="C7" s="174"/>
      <c r="D7" s="175">
        <f>C7/$R$7*$S$7</f>
        <v>0</v>
      </c>
      <c r="E7" s="176">
        <f>IF(M12="一线牵",#REF!*10000,D7*10000)</f>
        <v>0</v>
      </c>
      <c r="G7" s="173" t="s">
        <v>24</v>
      </c>
      <c r="H7" s="174"/>
      <c r="I7" s="175">
        <f>H7/$R$7*$S$7</f>
        <v>0</v>
      </c>
      <c r="J7" s="176">
        <f>IF(M12="一线牵",#REF!*10000,I7*10000)</f>
        <v>0</v>
      </c>
      <c r="K7" s="204">
        <f t="shared" ref="K7:K16" si="0">IF(D7&lt;&gt;0,(J7-E7)/E7,1)</f>
        <v>1</v>
      </c>
      <c r="M7" s="205" t="s">
        <v>25</v>
      </c>
      <c r="N7" s="205"/>
      <c r="O7" s="205"/>
      <c r="P7" s="206"/>
      <c r="Q7" s="248" t="s">
        <v>24</v>
      </c>
      <c r="R7" s="249">
        <v>33</v>
      </c>
      <c r="S7" s="42">
        <f>1.65%</f>
        <v>0.0165</v>
      </c>
      <c r="T7" s="173" t="s">
        <v>26</v>
      </c>
      <c r="U7" s="249">
        <f>$R$8</f>
        <v>10</v>
      </c>
      <c r="V7" s="42">
        <f>U7*74/U15*V15</f>
        <v>0.00940867810292634</v>
      </c>
      <c r="W7" s="250"/>
      <c r="X7" s="250"/>
      <c r="Y7" s="250"/>
      <c r="Z7" s="250"/>
      <c r="AA7" s="250"/>
      <c r="AB7" s="250"/>
      <c r="AC7" s="250"/>
      <c r="AD7" s="160"/>
    </row>
    <row r="8" s="58" customFormat="1" ht="22.5" spans="1:29">
      <c r="A8" s="159"/>
      <c r="B8" s="177" t="s">
        <v>27</v>
      </c>
      <c r="C8" s="174"/>
      <c r="D8" s="175">
        <f>C8/$R$8*$S$8</f>
        <v>0</v>
      </c>
      <c r="E8" s="176">
        <f>IF(M12="一线牵",#REF!*10000,D8*10000)</f>
        <v>0</v>
      </c>
      <c r="G8" s="177" t="s">
        <v>27</v>
      </c>
      <c r="H8" s="174"/>
      <c r="I8" s="175">
        <f>H8/$R$8*$S$8</f>
        <v>0</v>
      </c>
      <c r="J8" s="176">
        <f>IF(M12="一线牵",#REF!*10000,I8*10000)</f>
        <v>0</v>
      </c>
      <c r="K8" s="204">
        <f t="shared" si="0"/>
        <v>1</v>
      </c>
      <c r="M8" s="207" t="s">
        <v>28</v>
      </c>
      <c r="N8" s="201" t="s">
        <v>29</v>
      </c>
      <c r="O8" s="208" t="s">
        <v>30</v>
      </c>
      <c r="P8" s="209"/>
      <c r="Q8" s="177" t="s">
        <v>27</v>
      </c>
      <c r="R8" s="249">
        <v>10</v>
      </c>
      <c r="S8" s="42">
        <f>(R8*2.5)/R7*S7+R8/R10*S10</f>
        <v>0.0161363636363636</v>
      </c>
      <c r="T8" s="177" t="s">
        <v>31</v>
      </c>
      <c r="U8" s="249">
        <f>$R$8</f>
        <v>10</v>
      </c>
      <c r="V8" s="42">
        <f>U8*2.75/U10*V10</f>
        <v>0.0108333333333333</v>
      </c>
      <c r="W8" s="250" t="s">
        <v>32</v>
      </c>
      <c r="X8" s="192"/>
      <c r="Y8" s="192"/>
      <c r="Z8" s="192"/>
      <c r="AB8" s="192"/>
      <c r="AC8" s="192"/>
    </row>
    <row r="9" s="58" customFormat="1" ht="22.5" spans="1:29">
      <c r="A9" s="159"/>
      <c r="B9" s="177" t="s">
        <v>33</v>
      </c>
      <c r="C9" s="174"/>
      <c r="D9" s="175">
        <f>C9/$R$9*$S$9</f>
        <v>0</v>
      </c>
      <c r="E9" s="176">
        <f>IF(M12="一线牵",#REF!*10000,D9*10000)</f>
        <v>0</v>
      </c>
      <c r="G9" s="177" t="s">
        <v>33</v>
      </c>
      <c r="H9" s="174">
        <f>31*6</f>
        <v>186</v>
      </c>
      <c r="I9" s="175">
        <f>H9/$R$9*$S$9</f>
        <v>0.0465</v>
      </c>
      <c r="J9" s="176">
        <f>IF(M12="一线牵",#REF!*10000,I9*10000)</f>
        <v>465</v>
      </c>
      <c r="K9" s="204">
        <f t="shared" si="0"/>
        <v>1</v>
      </c>
      <c r="M9" s="207" t="s">
        <v>34</v>
      </c>
      <c r="N9" s="201" t="s">
        <v>35</v>
      </c>
      <c r="O9" s="210"/>
      <c r="P9" s="211"/>
      <c r="Q9" s="177" t="s">
        <v>36</v>
      </c>
      <c r="R9" s="249">
        <v>36</v>
      </c>
      <c r="S9" s="42">
        <f>R9/2/R7*S7</f>
        <v>0.009</v>
      </c>
      <c r="T9" s="177" t="s">
        <v>37</v>
      </c>
      <c r="U9" s="249">
        <f>$R$9</f>
        <v>36</v>
      </c>
      <c r="V9" s="42">
        <f>U9/2/U10*V10</f>
        <v>0.00709090909090909</v>
      </c>
      <c r="W9" s="250" t="s">
        <v>38</v>
      </c>
      <c r="X9" s="192"/>
      <c r="Y9" s="192"/>
      <c r="Z9" s="192"/>
      <c r="AA9" s="192"/>
      <c r="AB9" s="192"/>
      <c r="AC9" s="192"/>
    </row>
    <row r="10" s="58" customFormat="1" ht="22.5" spans="1:29">
      <c r="A10" s="159"/>
      <c r="B10" s="177" t="s">
        <v>39</v>
      </c>
      <c r="C10" s="174"/>
      <c r="D10" s="175">
        <f>C10/$R$10*$S$10</f>
        <v>0</v>
      </c>
      <c r="E10" s="176">
        <f>IF(M12="一线牵",#REF!*10000,D10*10000)</f>
        <v>0</v>
      </c>
      <c r="G10" s="177" t="s">
        <v>39</v>
      </c>
      <c r="H10" s="174">
        <f>28*6</f>
        <v>168</v>
      </c>
      <c r="I10" s="175">
        <f>H10/$R$10*$S$10</f>
        <v>0.0610909090909091</v>
      </c>
      <c r="J10" s="176">
        <f>IF(M12="一线牵",#REF!*10000,I10*10000)</f>
        <v>610.909090909091</v>
      </c>
      <c r="K10" s="204">
        <f t="shared" si="0"/>
        <v>1</v>
      </c>
      <c r="M10" s="207" t="s">
        <v>40</v>
      </c>
      <c r="N10" s="212">
        <v>0.09</v>
      </c>
      <c r="O10" s="210"/>
      <c r="P10" s="211"/>
      <c r="Q10" s="251" t="s">
        <v>39</v>
      </c>
      <c r="R10" s="249">
        <v>33</v>
      </c>
      <c r="S10" s="42">
        <f>1.2%</f>
        <v>0.012</v>
      </c>
      <c r="T10" s="251" t="s">
        <v>41</v>
      </c>
      <c r="U10" s="249">
        <f>$R$10</f>
        <v>33</v>
      </c>
      <c r="V10" s="42">
        <f>1.3%</f>
        <v>0.013</v>
      </c>
      <c r="W10" s="250" t="s">
        <v>42</v>
      </c>
      <c r="X10" s="192"/>
      <c r="Y10" s="192"/>
      <c r="Z10" s="192"/>
      <c r="AA10" s="192"/>
      <c r="AB10" s="192"/>
      <c r="AC10" s="192"/>
    </row>
    <row r="11" s="58" customFormat="1" ht="22.5" spans="1:29">
      <c r="A11" s="159"/>
      <c r="B11" s="177" t="s">
        <v>43</v>
      </c>
      <c r="C11" s="178"/>
      <c r="D11" s="175">
        <f>C11/$R$11*$S$11</f>
        <v>0</v>
      </c>
      <c r="E11" s="176">
        <f>IF(M12="一线牵",#REF!*10000,D11*10000)</f>
        <v>0</v>
      </c>
      <c r="G11" s="177" t="s">
        <v>43</v>
      </c>
      <c r="H11" s="178"/>
      <c r="I11" s="175">
        <f>H11/$R$11*$S$11</f>
        <v>0</v>
      </c>
      <c r="J11" s="176">
        <f>IF(M12="一线牵",#REF!*10000,I11*10000)</f>
        <v>0</v>
      </c>
      <c r="K11" s="204">
        <f t="shared" si="0"/>
        <v>1</v>
      </c>
      <c r="M11" s="207" t="s">
        <v>44</v>
      </c>
      <c r="N11" s="212">
        <v>0.018</v>
      </c>
      <c r="O11" s="210"/>
      <c r="P11" s="211"/>
      <c r="Q11" s="177" t="s">
        <v>43</v>
      </c>
      <c r="R11" s="252">
        <v>0.012</v>
      </c>
      <c r="S11" s="42">
        <f>1.1%</f>
        <v>0.011</v>
      </c>
      <c r="T11" s="177" t="s">
        <v>45</v>
      </c>
      <c r="U11" s="252">
        <f>$R$11</f>
        <v>0.012</v>
      </c>
      <c r="V11" s="42">
        <f>U11/1.07</f>
        <v>0.011214953271028</v>
      </c>
      <c r="W11" s="250" t="s">
        <v>46</v>
      </c>
      <c r="X11" s="192"/>
      <c r="Y11" s="192"/>
      <c r="Z11" s="192"/>
      <c r="AA11" s="192"/>
      <c r="AB11" s="192"/>
      <c r="AC11" s="192"/>
    </row>
    <row r="12" s="58" customFormat="1" ht="22.5" spans="1:27">
      <c r="A12" s="159"/>
      <c r="B12" s="177" t="s">
        <v>47</v>
      </c>
      <c r="C12" s="174"/>
      <c r="D12" s="175">
        <f>C12/$R$12*$S$12</f>
        <v>0</v>
      </c>
      <c r="E12" s="176">
        <f>IF(M12="一线牵",#REF!*10000,D12*10000)</f>
        <v>0</v>
      </c>
      <c r="G12" s="177" t="s">
        <v>47</v>
      </c>
      <c r="H12" s="174">
        <f>57*6</f>
        <v>342</v>
      </c>
      <c r="I12" s="175">
        <f>H12/$R$12*$S$12</f>
        <v>0.0466363636363636</v>
      </c>
      <c r="J12" s="176">
        <f>IF(M12="一线牵",#REF!*10000,I12*10000)</f>
        <v>466.363636363636</v>
      </c>
      <c r="K12" s="204">
        <f t="shared" si="0"/>
        <v>1</v>
      </c>
      <c r="M12" s="207" t="s">
        <v>48</v>
      </c>
      <c r="N12" s="212">
        <v>0.12</v>
      </c>
      <c r="O12" s="210"/>
      <c r="P12" s="211"/>
      <c r="Q12" s="251" t="s">
        <v>47</v>
      </c>
      <c r="R12" s="249">
        <v>66</v>
      </c>
      <c r="S12" s="42">
        <f>0.9%</f>
        <v>0.009</v>
      </c>
      <c r="T12" s="251" t="s">
        <v>49</v>
      </c>
      <c r="U12" s="249">
        <f>$R$12</f>
        <v>66</v>
      </c>
      <c r="V12" s="42">
        <f>1.2%</f>
        <v>0.012</v>
      </c>
      <c r="W12" s="253"/>
      <c r="X12" s="253"/>
      <c r="Y12" s="253"/>
      <c r="Z12" s="159"/>
      <c r="AA12" s="159"/>
    </row>
    <row r="13" s="58" customFormat="1" ht="22.5" spans="1:27">
      <c r="A13" s="159"/>
      <c r="B13" s="177" t="s">
        <v>50</v>
      </c>
      <c r="C13" s="174"/>
      <c r="D13" s="175">
        <f>C13/$R$13*$S$13</f>
        <v>0</v>
      </c>
      <c r="E13" s="176">
        <f>IF(M12="一线牵",#REF!*10000,D13*10000)</f>
        <v>0</v>
      </c>
      <c r="G13" s="177" t="s">
        <v>50</v>
      </c>
      <c r="H13" s="174"/>
      <c r="I13" s="175">
        <f>H13/$R$13*$S$13</f>
        <v>0</v>
      </c>
      <c r="J13" s="176">
        <f>IF(M12="一线牵",#REF!*10000,I13*10000)</f>
        <v>0</v>
      </c>
      <c r="K13" s="204">
        <f t="shared" si="0"/>
        <v>1</v>
      </c>
      <c r="M13" s="207" t="s">
        <v>51</v>
      </c>
      <c r="N13" s="212">
        <f>[1]计算器!F24</f>
        <v>0.172727272727273</v>
      </c>
      <c r="O13" s="210"/>
      <c r="P13" s="211"/>
      <c r="Q13" s="177" t="s">
        <v>50</v>
      </c>
      <c r="R13" s="249">
        <f>R8</f>
        <v>10</v>
      </c>
      <c r="S13" s="42">
        <f>R13*6/R12*S12</f>
        <v>0.00818181818181818</v>
      </c>
      <c r="T13" s="177" t="s">
        <v>50</v>
      </c>
      <c r="U13" s="249">
        <f>$R$8</f>
        <v>10</v>
      </c>
      <c r="V13" s="42">
        <f>U13*2/U12*V12</f>
        <v>0.00363636363636364</v>
      </c>
      <c r="W13" s="253"/>
      <c r="X13" s="192" t="s">
        <v>52</v>
      </c>
      <c r="Y13" s="253"/>
      <c r="Z13" s="159"/>
      <c r="AA13" s="159"/>
    </row>
    <row r="14" s="58" customFormat="1" ht="23.25" spans="1:27">
      <c r="A14" s="159"/>
      <c r="B14" s="177" t="s">
        <v>53</v>
      </c>
      <c r="C14" s="174"/>
      <c r="D14" s="175">
        <f>C14/$R$14*$S$14</f>
        <v>0</v>
      </c>
      <c r="E14" s="176">
        <f>IF(M12="一线牵",#REF!*10000,D14*10000)</f>
        <v>0</v>
      </c>
      <c r="G14" s="177" t="s">
        <v>53</v>
      </c>
      <c r="H14" s="174"/>
      <c r="I14" s="175">
        <f>H14/$R$14*$S$14</f>
        <v>0</v>
      </c>
      <c r="J14" s="176">
        <f>IF(M12="一线牵",#REF!*10000,I14*10000)</f>
        <v>0</v>
      </c>
      <c r="K14" s="204">
        <f t="shared" si="0"/>
        <v>1</v>
      </c>
      <c r="M14" s="160" t="s">
        <v>54</v>
      </c>
      <c r="N14" s="213">
        <f>([1]计算器!F13+[1]计算器!J20+[1]计算器!J23+[1]计算器!J34)/1.1</f>
        <v>0.172727272727273</v>
      </c>
      <c r="O14" s="214"/>
      <c r="P14" s="215"/>
      <c r="Q14" s="177" t="s">
        <v>55</v>
      </c>
      <c r="R14" s="249">
        <v>10</v>
      </c>
      <c r="S14" s="42">
        <f>R14/R7*S7</f>
        <v>0.005</v>
      </c>
      <c r="T14" s="177" t="s">
        <v>56</v>
      </c>
      <c r="U14" s="249">
        <f>$R$9*2</f>
        <v>72</v>
      </c>
      <c r="V14" s="42">
        <f>U14/2/U12*V12</f>
        <v>0.00654545454545455</v>
      </c>
      <c r="W14" s="254" t="s">
        <v>57</v>
      </c>
      <c r="X14" s="252" cm="1">
        <f t="array" ref="X14">IFERROR(IF(VLOOKUP("承影锋烁",M20:N26,2,0)="普通",4%,6%),0)+IFERROR(IF(VLOOKUP("日月两仪",M20:N26,2,0)="普通",5.6%,8.1%),0)+IFERROR(IF(VLOOKUP("五蕴谣",M20:N26,2,0)="普通",2%,3.5%),0)+IFERROR(IF(VLOOKUP("纳百观 ",M20:N26,2,0)="普通",2%,3.5%),0)+_xlfn.IFS(N9="3火",4%,N9="2火",2.4%,N9="1火",1.2%)</f>
        <v>0.1</v>
      </c>
      <c r="Y14" s="253"/>
      <c r="AA14" s="159"/>
    </row>
    <row r="15" s="58" customFormat="1" ht="22.5" spans="1:25">
      <c r="A15" s="159"/>
      <c r="B15" s="177" t="s">
        <v>58</v>
      </c>
      <c r="C15" s="178"/>
      <c r="D15" s="175">
        <f>C15/$R$15*$S$15</f>
        <v>0</v>
      </c>
      <c r="E15" s="176">
        <f>IF(M12="一线牵",#REF!*10000,D15*10000)</f>
        <v>0</v>
      </c>
      <c r="G15" s="177" t="s">
        <v>58</v>
      </c>
      <c r="H15" s="178"/>
      <c r="I15" s="175">
        <f>H15/$R$15*$S$15</f>
        <v>0</v>
      </c>
      <c r="J15" s="176">
        <f>IF(M12="一线牵",#REF!*10000,I15*10000)</f>
        <v>0</v>
      </c>
      <c r="K15" s="204">
        <f t="shared" si="0"/>
        <v>1</v>
      </c>
      <c r="M15" s="207"/>
      <c r="N15" s="207"/>
      <c r="O15" s="207"/>
      <c r="Q15" s="177" t="s">
        <v>58</v>
      </c>
      <c r="R15" s="252">
        <v>0.017</v>
      </c>
      <c r="S15" s="42">
        <v>0.0147</v>
      </c>
      <c r="T15" s="255" t="s">
        <v>59</v>
      </c>
      <c r="U15" s="249">
        <v>991</v>
      </c>
      <c r="V15" s="42">
        <f>1.4%*0.9</f>
        <v>0.0126</v>
      </c>
      <c r="W15" s="253" t="s">
        <v>60</v>
      </c>
      <c r="X15" s="253"/>
      <c r="Y15" s="253"/>
    </row>
    <row r="16" s="58" customFormat="1" ht="22.5" spans="1:25">
      <c r="A16" s="159"/>
      <c r="B16" s="179" t="s">
        <v>61</v>
      </c>
      <c r="C16" s="180"/>
      <c r="D16" s="181">
        <f>SUM(D7:D15)</f>
        <v>0</v>
      </c>
      <c r="E16" s="182">
        <f>D16*10000+O30</f>
        <v>3445</v>
      </c>
      <c r="G16" s="179" t="s">
        <v>61</v>
      </c>
      <c r="H16" s="180"/>
      <c r="I16" s="181">
        <f>SUM(I7:I15)</f>
        <v>0.154227272727273</v>
      </c>
      <c r="J16" s="182">
        <f>I16*10000+T30</f>
        <v>5070.27272727273</v>
      </c>
      <c r="K16" s="204">
        <f t="shared" si="0"/>
        <v>1</v>
      </c>
      <c r="M16" s="207"/>
      <c r="N16" s="207"/>
      <c r="O16" s="207"/>
      <c r="R16" s="249" t="s">
        <v>62</v>
      </c>
      <c r="S16" s="252">
        <f>SUM(S7:S15)/COUNT(S7:S15)</f>
        <v>0.011279797979798</v>
      </c>
      <c r="T16" s="216"/>
      <c r="U16" s="249" t="s">
        <v>62</v>
      </c>
      <c r="V16" s="252">
        <f>SUM(V7:V14)/COUNT(V7:V14)</f>
        <v>0.00921621149750187</v>
      </c>
      <c r="W16" s="253" t="s">
        <v>63</v>
      </c>
      <c r="X16" s="253"/>
      <c r="Y16" s="253"/>
    </row>
    <row r="17" s="58" customFormat="1" ht="22.5" spans="1:28">
      <c r="A17" s="159"/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59"/>
      <c r="M17" s="183"/>
      <c r="N17" s="183"/>
      <c r="O17" s="183"/>
      <c r="P17" s="216"/>
      <c r="Q17" s="216"/>
      <c r="R17" s="216"/>
      <c r="S17" s="216"/>
      <c r="T17" s="216"/>
      <c r="U17" s="216"/>
      <c r="V17" s="216"/>
      <c r="W17" s="253"/>
      <c r="X17" s="253"/>
      <c r="Y17" s="253"/>
      <c r="Z17" s="159"/>
      <c r="AA17" s="159"/>
      <c r="AB17" s="159"/>
    </row>
    <row r="18" s="58" customFormat="1" ht="22.5" spans="1:28">
      <c r="A18" s="159"/>
      <c r="B18" s="169" t="s">
        <v>64</v>
      </c>
      <c r="C18" s="170"/>
      <c r="D18" s="170"/>
      <c r="E18" s="184"/>
      <c r="G18" s="185" t="s">
        <v>65</v>
      </c>
      <c r="H18" s="186"/>
      <c r="I18" s="186"/>
      <c r="J18" s="186"/>
      <c r="K18" s="217"/>
      <c r="L18" s="159"/>
      <c r="M18" s="196" t="s">
        <v>66</v>
      </c>
      <c r="N18" s="196"/>
      <c r="O18" s="196" t="s">
        <v>67</v>
      </c>
      <c r="P18" s="196"/>
      <c r="R18" s="196" t="s">
        <v>68</v>
      </c>
      <c r="S18" s="196"/>
      <c r="T18" s="196" t="s">
        <v>67</v>
      </c>
      <c r="U18" s="196"/>
      <c r="V18" s="216"/>
      <c r="W18" s="253"/>
      <c r="X18" s="253"/>
      <c r="Y18" s="253"/>
      <c r="Z18" s="159"/>
      <c r="AA18" s="159"/>
      <c r="AB18" s="159"/>
    </row>
    <row r="19" s="58" customFormat="1" ht="22.5" spans="1:28">
      <c r="A19" s="159"/>
      <c r="B19" s="177" t="s">
        <v>26</v>
      </c>
      <c r="C19" s="174"/>
      <c r="D19" s="175">
        <f>C19/$U$7*$V$7</f>
        <v>0</v>
      </c>
      <c r="E19" s="176">
        <f t="shared" ref="E19:E28" si="1">D19*10000</f>
        <v>0</v>
      </c>
      <c r="F19" s="187"/>
      <c r="G19" s="177" t="s">
        <v>26</v>
      </c>
      <c r="H19" s="174"/>
      <c r="I19" s="175">
        <f>H19/$U$7*$V$7</f>
        <v>0</v>
      </c>
      <c r="J19" s="218">
        <f t="shared" ref="J19:J28" si="2">I19*10000</f>
        <v>0</v>
      </c>
      <c r="K19" s="204">
        <f t="shared" ref="K19:K23" si="3">IF(D19&lt;&gt;0,(J19-E19)/E19,1)</f>
        <v>1</v>
      </c>
      <c r="L19" s="159"/>
      <c r="M19" s="219" t="s">
        <v>69</v>
      </c>
      <c r="N19" s="219" t="s">
        <v>70</v>
      </c>
      <c r="O19" s="219" t="s">
        <v>67</v>
      </c>
      <c r="P19" s="219" t="s">
        <v>71</v>
      </c>
      <c r="R19" s="219" t="s">
        <v>69</v>
      </c>
      <c r="S19" s="219" t="s">
        <v>70</v>
      </c>
      <c r="T19" s="219" t="s">
        <v>67</v>
      </c>
      <c r="U19" s="219" t="s">
        <v>71</v>
      </c>
      <c r="V19" s="256"/>
      <c r="W19" s="216"/>
      <c r="X19" s="216"/>
      <c r="Y19" s="216"/>
      <c r="Z19" s="159"/>
      <c r="AA19" s="159"/>
      <c r="AB19" s="159"/>
    </row>
    <row r="20" s="58" customFormat="1" ht="22.5" spans="1:28">
      <c r="A20" s="159"/>
      <c r="B20" s="177" t="s">
        <v>31</v>
      </c>
      <c r="C20" s="174"/>
      <c r="D20" s="175">
        <f>C20/$U$8*$V$8</f>
        <v>0</v>
      </c>
      <c r="E20" s="176">
        <f t="shared" si="1"/>
        <v>0</v>
      </c>
      <c r="F20" s="187"/>
      <c r="G20" s="177" t="s">
        <v>31</v>
      </c>
      <c r="H20" s="174"/>
      <c r="I20" s="175">
        <f>H20/$U$8*$V$8</f>
        <v>0</v>
      </c>
      <c r="J20" s="218">
        <f t="shared" si="2"/>
        <v>0</v>
      </c>
      <c r="K20" s="204">
        <f t="shared" si="3"/>
        <v>1</v>
      </c>
      <c r="L20" s="159"/>
      <c r="M20" s="220" t="s">
        <v>72</v>
      </c>
      <c r="N20" s="220" t="s">
        <v>73</v>
      </c>
      <c r="O20" s="221">
        <f>ROUND(_xlfn.XLOOKUP(M20,[1]计算器!$I$20:$I$38,[1]计算器!$K$20:$K$38,0)*10000,0)</f>
        <v>745</v>
      </c>
      <c r="P20" s="221">
        <f>IF(N20="灵韵",ROUND(_xlfn.XLOOKUP(M20,[1]计算器!$I$20:$I$38,[1]计算器!$L$20:$L$38,0)*10000,0),0)</f>
        <v>0</v>
      </c>
      <c r="R20" s="220" t="s">
        <v>72</v>
      </c>
      <c r="S20" s="220" t="s">
        <v>73</v>
      </c>
      <c r="T20" s="221">
        <f>ROUND(_xlfn.XLOOKUP(R20,[1]计算器!$I$20:$I$38,[1]计算器!$K$20:$K$38,0)*10000,0)</f>
        <v>745</v>
      </c>
      <c r="U20" s="221">
        <f>IF(S20="灵韵",ROUND(_xlfn.XLOOKUP(R20,[1]计算器!$I$20:$I$38,[1]计算器!$L$20:$L$38,0)*10000,0),0)</f>
        <v>0</v>
      </c>
      <c r="V20" s="194"/>
      <c r="W20" s="159"/>
      <c r="X20" s="216"/>
      <c r="Y20" s="216"/>
      <c r="Z20" s="159"/>
      <c r="AA20" s="159"/>
      <c r="AB20" s="159"/>
    </row>
    <row r="21" s="58" customFormat="1" ht="22.5" spans="1:28">
      <c r="A21" s="159"/>
      <c r="B21" s="177" t="s">
        <v>74</v>
      </c>
      <c r="C21" s="174"/>
      <c r="D21" s="175">
        <f>C21/$U$9*$V$9</f>
        <v>0</v>
      </c>
      <c r="E21" s="176">
        <f t="shared" si="1"/>
        <v>0</v>
      </c>
      <c r="F21" s="187"/>
      <c r="G21" s="177" t="s">
        <v>74</v>
      </c>
      <c r="H21" s="174"/>
      <c r="I21" s="175">
        <f>H21/$U$9*$V$9</f>
        <v>0</v>
      </c>
      <c r="J21" s="218">
        <f t="shared" si="2"/>
        <v>0</v>
      </c>
      <c r="K21" s="204">
        <f t="shared" si="3"/>
        <v>1</v>
      </c>
      <c r="L21" s="159"/>
      <c r="M21" s="220" t="s">
        <v>75</v>
      </c>
      <c r="N21" s="220" t="s">
        <v>73</v>
      </c>
      <c r="O21" s="221">
        <f>ROUND(_xlfn.XLOOKUP(M21,[1]计算器!$I$20:$I$38,[1]计算器!$K$20:$K$38,0)*10000,0)</f>
        <v>662</v>
      </c>
      <c r="P21" s="221">
        <f>IF(N21="灵韵",ROUND(_xlfn.XLOOKUP(M21,[1]计算器!$I$20:$I$38,[1]计算器!$L$20:$L$38,0)*10000,0),0)</f>
        <v>0</v>
      </c>
      <c r="R21" s="220" t="s">
        <v>75</v>
      </c>
      <c r="S21" s="220" t="s">
        <v>73</v>
      </c>
      <c r="T21" s="221">
        <f>ROUND(_xlfn.XLOOKUP(R21,[1]计算器!$I$20:$I$38,[1]计算器!$K$20:$K$38,0)*10000,0)</f>
        <v>662</v>
      </c>
      <c r="U21" s="221">
        <f>IF(S21="灵韵",ROUND(_xlfn.XLOOKUP(R21,[1]计算器!$I$20:$I$38,[1]计算器!$L$20:$L$38,0)*10000,0),0)</f>
        <v>0</v>
      </c>
      <c r="V21" s="257"/>
      <c r="W21" s="159"/>
      <c r="X21" s="253"/>
      <c r="Y21" s="253"/>
      <c r="Z21" s="159"/>
      <c r="AA21" s="159"/>
      <c r="AB21" s="159"/>
    </row>
    <row r="22" s="58" customFormat="1" ht="22.5" spans="1:28">
      <c r="A22" s="159"/>
      <c r="B22" s="177" t="s">
        <v>41</v>
      </c>
      <c r="C22" s="174"/>
      <c r="D22" s="175">
        <f>C22/$U$10*$V$10</f>
        <v>0</v>
      </c>
      <c r="E22" s="176">
        <f t="shared" si="1"/>
        <v>0</v>
      </c>
      <c r="F22" s="187"/>
      <c r="G22" s="177" t="s">
        <v>41</v>
      </c>
      <c r="H22" s="174"/>
      <c r="I22" s="175">
        <f>H22/$U$10*$V$10</f>
        <v>0</v>
      </c>
      <c r="J22" s="218">
        <f t="shared" si="2"/>
        <v>0</v>
      </c>
      <c r="K22" s="204">
        <f t="shared" si="3"/>
        <v>1</v>
      </c>
      <c r="L22" s="159"/>
      <c r="M22" s="220" t="s">
        <v>76</v>
      </c>
      <c r="N22" s="220" t="s">
        <v>73</v>
      </c>
      <c r="O22" s="221">
        <f>ROUND(_xlfn.XLOOKUP(M22,[1]计算器!$I$20:$I$38,[1]计算器!$K$20:$K$38,0)*10000,0)</f>
        <v>580</v>
      </c>
      <c r="P22" s="221">
        <f>IF(N22="灵韵",ROUND(_xlfn.XLOOKUP(M22,[1]计算器!$I$20:$I$38,[1]计算器!$L$20:$L$38,0)*10000,0),0)</f>
        <v>0</v>
      </c>
      <c r="R22" s="220" t="s">
        <v>76</v>
      </c>
      <c r="S22" s="220" t="s">
        <v>73</v>
      </c>
      <c r="T22" s="221">
        <f>ROUND(_xlfn.XLOOKUP(R22,[1]计算器!$I$20:$I$38,[1]计算器!$K$20:$K$38,0)*10000,0)</f>
        <v>580</v>
      </c>
      <c r="U22" s="221">
        <f>IF(S22="灵韵",ROUND(_xlfn.XLOOKUP(R22,[1]计算器!$I$20:$I$38,[1]计算器!$L$20:$L$38,0)*10000,0),0)</f>
        <v>0</v>
      </c>
      <c r="W22" s="159"/>
      <c r="X22" s="253"/>
      <c r="Y22" s="253" t="s">
        <v>77</v>
      </c>
      <c r="Z22" s="159" t="s">
        <v>78</v>
      </c>
      <c r="AA22" s="159" t="s">
        <v>79</v>
      </c>
      <c r="AB22" s="159"/>
    </row>
    <row r="23" s="58" customFormat="1" ht="22.5" spans="1:28">
      <c r="A23" s="159"/>
      <c r="B23" s="177" t="s">
        <v>45</v>
      </c>
      <c r="C23" s="178"/>
      <c r="D23" s="175">
        <f>C23/$U$11*$V$11</f>
        <v>0</v>
      </c>
      <c r="E23" s="176">
        <f t="shared" si="1"/>
        <v>0</v>
      </c>
      <c r="F23" s="187"/>
      <c r="G23" s="177" t="s">
        <v>45</v>
      </c>
      <c r="H23" s="174"/>
      <c r="I23" s="175">
        <f>H23/$U$11*$V$11</f>
        <v>0</v>
      </c>
      <c r="J23" s="218">
        <f t="shared" si="2"/>
        <v>0</v>
      </c>
      <c r="K23" s="204">
        <f t="shared" si="3"/>
        <v>1</v>
      </c>
      <c r="L23" s="159"/>
      <c r="M23" s="219" t="s">
        <v>80</v>
      </c>
      <c r="N23" s="219" t="s">
        <v>70</v>
      </c>
      <c r="O23" s="219"/>
      <c r="P23" s="221"/>
      <c r="R23" s="219" t="s">
        <v>80</v>
      </c>
      <c r="S23" s="219" t="s">
        <v>70</v>
      </c>
      <c r="T23" s="219"/>
      <c r="U23" s="221"/>
      <c r="V23" s="253"/>
      <c r="W23" s="159"/>
      <c r="X23" s="253"/>
      <c r="Y23" s="253" t="s">
        <v>81</v>
      </c>
      <c r="Z23" s="270">
        <v>0.5</v>
      </c>
      <c r="AA23" s="159"/>
      <c r="AB23" s="159"/>
    </row>
    <row r="24" s="58" customFormat="1" ht="22.5" spans="1:28">
      <c r="A24" s="159"/>
      <c r="B24" s="177" t="s">
        <v>49</v>
      </c>
      <c r="C24" s="174"/>
      <c r="D24" s="175">
        <f>C24/$U$12*$V$12</f>
        <v>0</v>
      </c>
      <c r="E24" s="176">
        <f t="shared" si="1"/>
        <v>0</v>
      </c>
      <c r="F24" s="187"/>
      <c r="G24" s="177" t="s">
        <v>49</v>
      </c>
      <c r="H24" s="174"/>
      <c r="I24" s="175">
        <f>H24/$U$12*$V$12</f>
        <v>0</v>
      </c>
      <c r="J24" s="218">
        <f t="shared" si="2"/>
        <v>0</v>
      </c>
      <c r="K24" s="204">
        <f>IF(D26&lt;&gt;0,(J26-E26)/E26,1)</f>
        <v>1</v>
      </c>
      <c r="L24" s="222"/>
      <c r="M24" s="220" t="s">
        <v>82</v>
      </c>
      <c r="N24" s="220" t="s">
        <v>73</v>
      </c>
      <c r="O24" s="221">
        <f>ROUND(_xlfn.XLOOKUP(M24,[1]计算器!$I$20:$I$38,[1]计算器!$K$20:$K$38,0)*10000,0)</f>
        <v>550</v>
      </c>
      <c r="P24" s="221">
        <f>IF(N24="灵韵",ROUND(_xlfn.XLOOKUP(M24,[1]计算器!$I$20:$I$38,[1]计算器!$L$20:$L$38,0)*10000,0),0)</f>
        <v>0</v>
      </c>
      <c r="R24" s="220" t="s">
        <v>82</v>
      </c>
      <c r="S24" s="220" t="s">
        <v>73</v>
      </c>
      <c r="T24" s="221">
        <f>ROUND(_xlfn.XLOOKUP(R24,[1]计算器!$I$20:$I$38,[1]计算器!$K$20:$K$38,0)*10000,0)</f>
        <v>550</v>
      </c>
      <c r="U24" s="221">
        <f>IF(S24="灵韵",ROUND(_xlfn.XLOOKUP(R24,[1]计算器!$I$20:$I$38,[1]计算器!$L$20:$L$38,0)*10000,0),0)</f>
        <v>0</v>
      </c>
      <c r="V24" s="253"/>
      <c r="W24" s="159"/>
      <c r="X24" s="253"/>
      <c r="Y24" s="58" t="s">
        <v>83</v>
      </c>
      <c r="Z24" s="58" t="s">
        <v>84</v>
      </c>
      <c r="AA24" s="222"/>
      <c r="AB24" s="222"/>
    </row>
    <row r="25" s="58" customFormat="1" ht="22.5" spans="1:28">
      <c r="A25" s="159"/>
      <c r="B25" s="177" t="s">
        <v>50</v>
      </c>
      <c r="C25" s="174"/>
      <c r="D25" s="175">
        <f>C25/$U$13*$V$13</f>
        <v>0</v>
      </c>
      <c r="E25" s="176">
        <f t="shared" si="1"/>
        <v>0</v>
      </c>
      <c r="F25" s="187"/>
      <c r="G25" s="177" t="s">
        <v>50</v>
      </c>
      <c r="H25" s="174"/>
      <c r="I25" s="175">
        <f>H25/$U$13*$V$13</f>
        <v>0</v>
      </c>
      <c r="J25" s="218">
        <f t="shared" si="2"/>
        <v>0</v>
      </c>
      <c r="K25" s="204">
        <f>IF(D25&lt;&gt;0,(J25-E25)/E25,1)</f>
        <v>1</v>
      </c>
      <c r="L25" s="159"/>
      <c r="M25" s="220" t="s">
        <v>85</v>
      </c>
      <c r="N25" s="220" t="s">
        <v>73</v>
      </c>
      <c r="O25" s="221">
        <f>ROUND(_xlfn.XLOOKUP(M25,[1]计算器!$I$20:$I$38,[1]计算器!$K$20:$K$38,0)*10000,0)</f>
        <v>469</v>
      </c>
      <c r="P25" s="221">
        <f>IF(N25="灵韵",ROUND(_xlfn.XLOOKUP(M25,[1]计算器!$I$20:$I$38,[1]计算器!$L$20:$L$38,0)*10000,0),0)</f>
        <v>0</v>
      </c>
      <c r="R25" s="220" t="s">
        <v>85</v>
      </c>
      <c r="S25" s="220" t="s">
        <v>73</v>
      </c>
      <c r="T25" s="221">
        <f>ROUND(_xlfn.XLOOKUP(R25,[1]计算器!$I$20:$I$38,[1]计算器!$K$20:$K$38,0)*10000,0)</f>
        <v>469</v>
      </c>
      <c r="U25" s="221">
        <f>IF(S25="灵韵",ROUND(_xlfn.XLOOKUP(R25,[1]计算器!$I$20:$I$38,[1]计算器!$L$20:$L$38,0)*10000,0),0)</f>
        <v>0</v>
      </c>
      <c r="V25" s="253"/>
      <c r="W25" s="159"/>
      <c r="X25" s="253"/>
      <c r="Y25" s="253" t="s">
        <v>86</v>
      </c>
      <c r="Z25" s="222" t="s">
        <v>87</v>
      </c>
      <c r="AA25" s="159" t="s">
        <v>79</v>
      </c>
      <c r="AB25" s="159"/>
    </row>
    <row r="26" s="58" customFormat="1" ht="22.5" spans="1:28">
      <c r="A26" s="159"/>
      <c r="B26" s="177" t="s">
        <v>56</v>
      </c>
      <c r="C26" s="174"/>
      <c r="D26" s="175">
        <f>C26/$U$14*$V$14</f>
        <v>0</v>
      </c>
      <c r="E26" s="176">
        <f t="shared" si="1"/>
        <v>0</v>
      </c>
      <c r="F26" s="187"/>
      <c r="G26" s="177" t="s">
        <v>88</v>
      </c>
      <c r="H26" s="174"/>
      <c r="I26" s="175">
        <f>H26/$U$14*$V$14</f>
        <v>0</v>
      </c>
      <c r="J26" s="218">
        <f t="shared" si="2"/>
        <v>0</v>
      </c>
      <c r="K26" s="204">
        <f>IF(D28&lt;&gt;0,(J28-E28)/E28,1)</f>
        <v>1</v>
      </c>
      <c r="L26" s="159"/>
      <c r="M26" s="220" t="s">
        <v>89</v>
      </c>
      <c r="N26" s="220" t="s">
        <v>73</v>
      </c>
      <c r="O26" s="221">
        <f>ROUND(_xlfn.XLOOKUP(M26,[1]计算器!$I$20:$I$38,[1]计算器!$K$20:$K$38,0)*10000,0)</f>
        <v>439</v>
      </c>
      <c r="P26" s="221">
        <f>IF(N26="灵韵",ROUND(_xlfn.XLOOKUP(M26,[1]计算器!$I$20:$I$38,[1]计算器!$L$20:$L$38,0)*10000,0),0)</f>
        <v>0</v>
      </c>
      <c r="R26" s="220" t="s">
        <v>90</v>
      </c>
      <c r="S26" s="220" t="s">
        <v>73</v>
      </c>
      <c r="T26" s="221">
        <f>ROUND(_xlfn.XLOOKUP(R26,[1]计算器!$I$20:$I$38,[1]计算器!$K$20:$K$38,0)*10000,0)</f>
        <v>522</v>
      </c>
      <c r="U26" s="221">
        <f>IF(S26="灵韵",ROUND(_xlfn.XLOOKUP(R26,[1]计算器!$I$20:$I$38,[1]计算器!$L$20:$L$38,0)*10000,0),0)</f>
        <v>0</v>
      </c>
      <c r="V26" s="253"/>
      <c r="W26" s="159"/>
      <c r="X26" s="253"/>
      <c r="Z26" s="159"/>
      <c r="AA26" s="159">
        <f>5.5%/0.7</f>
        <v>0.0785714285714286</v>
      </c>
      <c r="AB26" s="159"/>
    </row>
    <row r="27" s="58" customFormat="1" ht="22.5" spans="1:28">
      <c r="A27" s="159"/>
      <c r="B27" s="177" t="s">
        <v>59</v>
      </c>
      <c r="C27" s="174"/>
      <c r="D27" s="175">
        <f>IF(C27&gt;12505,(C27-12504)/$U$15*$V$15,0)</f>
        <v>0</v>
      </c>
      <c r="E27" s="176">
        <f t="shared" si="1"/>
        <v>0</v>
      </c>
      <c r="F27" s="159"/>
      <c r="G27" s="177" t="s">
        <v>59</v>
      </c>
      <c r="H27" s="174"/>
      <c r="I27" s="175">
        <f>IF(H27&gt;12505,(H27-12504)/$U$15*$V$15,0)</f>
        <v>0</v>
      </c>
      <c r="J27" s="176">
        <f t="shared" si="2"/>
        <v>0</v>
      </c>
      <c r="K27" s="204">
        <f>IF(D28&lt;&gt;0,(J28-E28)/E28,1)</f>
        <v>1</v>
      </c>
      <c r="L27" s="159"/>
      <c r="M27" s="220"/>
      <c r="N27" s="220"/>
      <c r="O27" s="221">
        <f>ROUND(_xlfn.XLOOKUP(M27,[1]计算器!$I$20:$I$38,[1]计算器!$K$20:$K$38,0)*10000,0)</f>
        <v>0</v>
      </c>
      <c r="P27" s="221">
        <f>IF(N27="灵韵",ROUND(_xlfn.XLOOKUP(M27,[1]计算器!$I$20:$I$38,[1]计算器!$L$20:$L$38,0)*10000,0),0)</f>
        <v>0</v>
      </c>
      <c r="R27" s="220"/>
      <c r="S27" s="220"/>
      <c r="T27" s="221">
        <f>ROUND(_xlfn.XLOOKUP(R27,[1]计算器!$I$20:$I$38,[1]计算器!$K$20:$K$38,0)*10000,0)</f>
        <v>0</v>
      </c>
      <c r="U27" s="221">
        <f>IF(S27="灵韵",ROUND(_xlfn.XLOOKUP(R27,[1]计算器!$I$20:$I$38,[1]计算器!$L$20:$L$38,0)*10000,0),0)</f>
        <v>0</v>
      </c>
      <c r="V27" s="253"/>
      <c r="W27" s="159"/>
      <c r="X27" s="253"/>
      <c r="Y27" s="159"/>
      <c r="Z27" s="159"/>
      <c r="AA27" s="159">
        <f>5.5*1.5</f>
        <v>8.25</v>
      </c>
      <c r="AB27" s="159"/>
    </row>
    <row r="28" s="58" customFormat="1" ht="23.25" spans="1:28">
      <c r="A28" s="159"/>
      <c r="B28" s="188" t="s">
        <v>91</v>
      </c>
      <c r="C28" s="189"/>
      <c r="D28" s="190">
        <f>SUM(D19:D27)/([1]计算器!$L$64/[1]计算器!$M$64)</f>
        <v>0</v>
      </c>
      <c r="E28" s="182">
        <f t="shared" si="1"/>
        <v>0</v>
      </c>
      <c r="F28" s="183"/>
      <c r="G28" s="188" t="s">
        <v>91</v>
      </c>
      <c r="H28" s="189"/>
      <c r="I28" s="190">
        <f>SUM(I19:I27)/([1]计算器!$L$64/[1]计算器!$M$64)</f>
        <v>0</v>
      </c>
      <c r="J28" s="182">
        <f t="shared" si="2"/>
        <v>0</v>
      </c>
      <c r="K28" s="183"/>
      <c r="L28" s="159"/>
      <c r="M28" s="220"/>
      <c r="N28" s="220"/>
      <c r="O28" s="221">
        <f>ROUND(_xlfn.XLOOKUP(M28,[1]计算器!$I$20:$I$38,[1]计算器!$K$20:$K$38,0)*10000,0)</f>
        <v>0</v>
      </c>
      <c r="P28" s="221">
        <f>IF(N28="灵韵",ROUND(_xlfn.XLOOKUP(M28,[1]计算器!$I$20:$I$38,[1]计算器!$L$20:$L$38,0)*10000,0),0)</f>
        <v>0</v>
      </c>
      <c r="R28" s="220"/>
      <c r="S28" s="220"/>
      <c r="T28" s="221">
        <f>ROUND(_xlfn.XLOOKUP(R28,[1]计算器!$I$20:$I$38,[1]计算器!$K$20:$K$38,0)*10000,0)</f>
        <v>0</v>
      </c>
      <c r="U28" s="221">
        <f>IF(S28="灵韵",ROUND(_xlfn.XLOOKUP(R28,[1]计算器!$I$20:$I$38,[1]计算器!$L$20:$L$38,0)*10000,0),0)</f>
        <v>0</v>
      </c>
      <c r="V28" s="253"/>
      <c r="W28" s="159"/>
      <c r="X28" s="253"/>
      <c r="Y28" s="159"/>
      <c r="Z28" s="159"/>
      <c r="AA28" s="159"/>
      <c r="AB28" s="159"/>
    </row>
    <row r="29" s="58" customFormat="1" ht="22.5" spans="1:28">
      <c r="A29" s="159"/>
      <c r="B29" s="191" t="s">
        <v>32</v>
      </c>
      <c r="C29" s="192"/>
      <c r="D29" s="192"/>
      <c r="F29" s="183"/>
      <c r="G29" s="183"/>
      <c r="H29" s="183"/>
      <c r="I29" s="183"/>
      <c r="J29" s="183"/>
      <c r="K29" s="183"/>
      <c r="L29" s="159"/>
      <c r="M29" s="223" t="s">
        <v>92</v>
      </c>
      <c r="N29" s="223">
        <f>COUNTIF(N20:N26,"灵韵")</f>
        <v>0</v>
      </c>
      <c r="O29" s="224">
        <f t="shared" ref="O29:U29" si="4">SUM(O20:O28)</f>
        <v>3445</v>
      </c>
      <c r="P29" s="225">
        <f t="shared" si="4"/>
        <v>0</v>
      </c>
      <c r="R29" s="223" t="s">
        <v>92</v>
      </c>
      <c r="S29" s="223">
        <f>COUNTIF(S20:S26,"灵韵")</f>
        <v>0</v>
      </c>
      <c r="T29" s="224">
        <f t="shared" si="4"/>
        <v>3528</v>
      </c>
      <c r="U29" s="225">
        <f t="shared" si="4"/>
        <v>0</v>
      </c>
      <c r="W29" s="159"/>
      <c r="X29" s="253"/>
      <c r="Y29" s="159"/>
      <c r="Z29" s="159"/>
      <c r="AA29" s="159"/>
      <c r="AB29" s="159"/>
    </row>
    <row r="30" s="58" customFormat="1" ht="22.5" spans="1:28">
      <c r="A30" s="159"/>
      <c r="B30" s="191" t="s">
        <v>38</v>
      </c>
      <c r="C30" s="192"/>
      <c r="D30" s="192"/>
      <c r="E30" s="192"/>
      <c r="L30" s="159"/>
      <c r="M30" s="224" t="s">
        <v>93</v>
      </c>
      <c r="N30" s="223"/>
      <c r="O30" s="226">
        <f>SUM(O29:P29)</f>
        <v>3445</v>
      </c>
      <c r="P30" s="226"/>
      <c r="R30" s="224" t="s">
        <v>93</v>
      </c>
      <c r="S30" s="223"/>
      <c r="T30" s="226">
        <f>SUM(T29:U29)</f>
        <v>3528</v>
      </c>
      <c r="U30" s="226"/>
      <c r="V30" s="159"/>
      <c r="W30" s="159"/>
      <c r="X30" s="253"/>
      <c r="Y30" s="159"/>
      <c r="Z30" s="159"/>
      <c r="AA30" s="159"/>
      <c r="AB30" s="159"/>
    </row>
    <row r="31" s="58" customFormat="1" ht="22.5" spans="1:27">
      <c r="A31" s="159"/>
      <c r="B31" s="191" t="s">
        <v>94</v>
      </c>
      <c r="C31" s="160"/>
      <c r="D31" s="161"/>
      <c r="E31" s="192"/>
      <c r="L31" s="159"/>
      <c r="V31" s="159"/>
      <c r="W31" s="159"/>
      <c r="X31" s="159"/>
      <c r="Y31" s="159"/>
      <c r="Z31" s="159"/>
      <c r="AA31" s="159"/>
    </row>
    <row r="32" s="58" customFormat="1" ht="22.5" spans="1:27">
      <c r="A32" s="159"/>
      <c r="B32" s="191" t="s">
        <v>95</v>
      </c>
      <c r="C32" s="192"/>
      <c r="D32" s="161"/>
      <c r="E32" s="192"/>
      <c r="L32" s="159"/>
      <c r="Y32" s="159"/>
      <c r="Z32" s="159"/>
      <c r="AA32" s="159"/>
    </row>
    <row r="33" s="58" customFormat="1" ht="22.5" spans="1:27">
      <c r="A33" s="159"/>
      <c r="B33" s="191" t="s">
        <v>96</v>
      </c>
      <c r="C33" s="192"/>
      <c r="D33" s="161"/>
      <c r="E33" s="193"/>
      <c r="L33" s="159"/>
      <c r="Z33" s="159"/>
      <c r="AA33" s="159"/>
    </row>
    <row r="34" s="58" customFormat="1" ht="22.5" spans="1:27">
      <c r="A34" s="159"/>
      <c r="B34" s="191" t="s">
        <v>97</v>
      </c>
      <c r="C34" s="193"/>
      <c r="D34" s="161"/>
      <c r="E34" s="192"/>
      <c r="L34" s="159"/>
      <c r="Z34" s="159"/>
      <c r="AA34" s="159"/>
    </row>
    <row r="35" s="58" customFormat="1" ht="22.5" spans="1:27">
      <c r="A35" s="159"/>
      <c r="B35" s="191" t="s">
        <v>98</v>
      </c>
      <c r="C35" s="192"/>
      <c r="D35" s="161"/>
      <c r="E35" s="162"/>
      <c r="L35" s="159"/>
      <c r="Z35" s="159"/>
      <c r="AA35" s="159"/>
    </row>
    <row r="36" s="58" customFormat="1" ht="22.5" spans="1:27">
      <c r="A36" s="159"/>
      <c r="B36" s="191" t="s">
        <v>99</v>
      </c>
      <c r="C36" s="160"/>
      <c r="D36" s="192"/>
      <c r="E36" s="162"/>
      <c r="L36" s="159"/>
      <c r="M36" s="227"/>
      <c r="N36" s="227"/>
      <c r="O36" s="227"/>
      <c r="P36" s="227"/>
      <c r="Q36" s="258"/>
      <c r="R36" s="258"/>
      <c r="S36" s="258"/>
      <c r="T36" s="258"/>
      <c r="U36" s="159"/>
      <c r="V36" s="159"/>
      <c r="W36" s="159"/>
      <c r="X36" s="159"/>
      <c r="Z36" s="159"/>
      <c r="AA36" s="159"/>
    </row>
    <row r="37" s="58" customFormat="1" ht="22.5" spans="1:28">
      <c r="A37" s="159"/>
      <c r="B37" s="191"/>
      <c r="C37" s="160"/>
      <c r="D37" s="192"/>
      <c r="E37" s="194"/>
      <c r="L37" s="159" t="s">
        <v>100</v>
      </c>
      <c r="M37" s="228" t="s">
        <v>101</v>
      </c>
      <c r="N37" s="228"/>
      <c r="O37" s="228"/>
      <c r="P37" s="228"/>
      <c r="Q37" s="228" t="s">
        <v>102</v>
      </c>
      <c r="R37" s="228"/>
      <c r="S37" s="228"/>
      <c r="T37" s="228"/>
      <c r="U37" s="219"/>
      <c r="Z37" s="159"/>
      <c r="AA37" s="159"/>
      <c r="AB37" s="58" t="s">
        <v>103</v>
      </c>
    </row>
    <row r="38" s="58" customFormat="1" ht="24.75" spans="1:30">
      <c r="A38" s="159"/>
      <c r="B38" s="191"/>
      <c r="C38" s="160"/>
      <c r="D38" s="161"/>
      <c r="E38" s="194"/>
      <c r="L38" s="58" t="s">
        <v>104</v>
      </c>
      <c r="M38" s="229">
        <v>0</v>
      </c>
      <c r="N38" s="230"/>
      <c r="O38" s="231"/>
      <c r="P38" s="232" t="s">
        <v>105</v>
      </c>
      <c r="Q38" s="259"/>
      <c r="R38" s="259"/>
      <c r="S38" s="259"/>
      <c r="T38" s="260"/>
      <c r="U38" s="261" t="s">
        <v>106</v>
      </c>
      <c r="V38" s="262"/>
      <c r="W38" s="262"/>
      <c r="X38" s="262"/>
      <c r="AA38" s="159"/>
      <c r="AB38" s="58" t="s">
        <v>107</v>
      </c>
      <c r="AC38" s="271">
        <v>0</v>
      </c>
      <c r="AD38" s="159" t="s">
        <v>108</v>
      </c>
    </row>
    <row r="39" s="58" customFormat="1" ht="24.75" spans="1:30">
      <c r="A39" s="159"/>
      <c r="B39" s="191"/>
      <c r="C39" s="160"/>
      <c r="D39" s="161"/>
      <c r="E39" s="194"/>
      <c r="L39" s="58" t="str">
        <f t="shared" ref="L39:L44" si="5">AB39</f>
        <v>3.2词条</v>
      </c>
      <c r="M39" s="229">
        <f>6100</f>
        <v>6100</v>
      </c>
      <c r="N39" s="230"/>
      <c r="O39" s="231"/>
      <c r="P39" s="232" t="s">
        <v>109</v>
      </c>
      <c r="Q39" s="259"/>
      <c r="R39" s="259"/>
      <c r="S39" s="259"/>
      <c r="T39" s="260"/>
      <c r="U39" s="263"/>
      <c r="V39" s="264"/>
      <c r="W39" s="264"/>
      <c r="X39" s="264"/>
      <c r="AA39" s="159"/>
      <c r="AB39" s="58" t="s">
        <v>110</v>
      </c>
      <c r="AC39" s="271">
        <f t="shared" ref="AC39:AC44" si="6">M39</f>
        <v>6100</v>
      </c>
      <c r="AD39" s="159" t="s">
        <v>111</v>
      </c>
    </row>
    <row r="40" s="58" customFormat="1" ht="24.75" spans="1:30">
      <c r="A40" s="159"/>
      <c r="B40" s="191"/>
      <c r="C40" s="160"/>
      <c r="D40" s="161"/>
      <c r="E40" s="194"/>
      <c r="L40" s="58" t="str">
        <f t="shared" si="5"/>
        <v>3.5词条</v>
      </c>
      <c r="M40" s="229">
        <f>M39+$S$16*6*10000*0.3</f>
        <v>6303.03636363636</v>
      </c>
      <c r="N40" s="230"/>
      <c r="O40" s="231"/>
      <c r="P40" s="232" t="s">
        <v>112</v>
      </c>
      <c r="Q40" s="259"/>
      <c r="R40" s="259"/>
      <c r="S40" s="259"/>
      <c r="T40" s="260"/>
      <c r="U40" s="263"/>
      <c r="V40" s="264"/>
      <c r="W40" s="264"/>
      <c r="X40" s="264"/>
      <c r="AA40" s="159"/>
      <c r="AB40" s="58" t="s">
        <v>113</v>
      </c>
      <c r="AC40" s="271">
        <f t="shared" si="6"/>
        <v>6303.03636363636</v>
      </c>
      <c r="AD40" s="159" t="s">
        <v>114</v>
      </c>
    </row>
    <row r="41" s="58" customFormat="1" ht="24.75" spans="1:30">
      <c r="A41" s="159"/>
      <c r="B41" s="191"/>
      <c r="C41" s="160"/>
      <c r="D41" s="161"/>
      <c r="E41" s="194"/>
      <c r="L41" s="58" t="str">
        <f t="shared" si="5"/>
        <v>4.5词条</v>
      </c>
      <c r="M41" s="229">
        <f>M40+$S$16*6*10000*1</f>
        <v>6979.82424242424</v>
      </c>
      <c r="N41" s="230"/>
      <c r="O41" s="231"/>
      <c r="P41" s="232" t="s">
        <v>115</v>
      </c>
      <c r="Q41" s="259"/>
      <c r="R41" s="259"/>
      <c r="S41" s="259"/>
      <c r="T41" s="260"/>
      <c r="U41" s="263"/>
      <c r="V41" s="264"/>
      <c r="W41" s="264"/>
      <c r="X41" s="264"/>
      <c r="AA41" s="159"/>
      <c r="AB41" s="58" t="s">
        <v>116</v>
      </c>
      <c r="AC41" s="271">
        <f t="shared" si="6"/>
        <v>6979.82424242424</v>
      </c>
      <c r="AD41" s="159" t="s">
        <v>117</v>
      </c>
    </row>
    <row r="42" s="58" customFormat="1" ht="24.75" spans="1:30">
      <c r="A42" s="159"/>
      <c r="B42" s="191"/>
      <c r="C42" s="160"/>
      <c r="D42" s="161"/>
      <c r="E42" s="162"/>
      <c r="L42" s="58" t="str">
        <f t="shared" si="5"/>
        <v>5.5词条</v>
      </c>
      <c r="M42" s="229">
        <f>M41+$S$16*6*10000*1</f>
        <v>7656.61212121212</v>
      </c>
      <c r="N42" s="230"/>
      <c r="O42" s="231"/>
      <c r="P42" s="232" t="s">
        <v>118</v>
      </c>
      <c r="Q42" s="259"/>
      <c r="R42" s="259"/>
      <c r="S42" s="259"/>
      <c r="T42" s="260"/>
      <c r="U42" s="263"/>
      <c r="V42" s="264"/>
      <c r="W42" s="264"/>
      <c r="X42" s="264"/>
      <c r="AA42" s="159"/>
      <c r="AB42" s="58" t="s">
        <v>119</v>
      </c>
      <c r="AC42" s="271">
        <f t="shared" si="6"/>
        <v>7656.61212121212</v>
      </c>
      <c r="AD42" s="159" t="s">
        <v>120</v>
      </c>
    </row>
    <row r="43" s="58" customFormat="1" ht="24.75" spans="1:30">
      <c r="A43" s="159"/>
      <c r="L43" s="58" t="str">
        <f t="shared" si="5"/>
        <v>6词条</v>
      </c>
      <c r="M43" s="229">
        <f>M42+$S$16*6*10000*0.5</f>
        <v>7995.00606060606</v>
      </c>
      <c r="N43" s="230"/>
      <c r="O43" s="231"/>
      <c r="P43" s="232" t="s">
        <v>121</v>
      </c>
      <c r="Q43" s="259"/>
      <c r="R43" s="259"/>
      <c r="S43" s="259"/>
      <c r="T43" s="260"/>
      <c r="U43" s="263"/>
      <c r="V43" s="264"/>
      <c r="W43" s="264"/>
      <c r="X43" s="264"/>
      <c r="AA43" s="159"/>
      <c r="AB43" s="58" t="s">
        <v>122</v>
      </c>
      <c r="AC43" s="271">
        <f t="shared" si="6"/>
        <v>7995.00606060606</v>
      </c>
      <c r="AD43" s="159" t="s">
        <v>123</v>
      </c>
    </row>
    <row r="44" s="58" customFormat="1" ht="24.75" spans="1:30">
      <c r="A44" s="159"/>
      <c r="L44" s="58" t="str">
        <f t="shared" si="5"/>
        <v>6.5词条</v>
      </c>
      <c r="M44" s="229">
        <f>M43+$S$16*6*10000*0.5</f>
        <v>8333.4</v>
      </c>
      <c r="N44" s="230"/>
      <c r="O44" s="231"/>
      <c r="P44" s="233" t="s">
        <v>124</v>
      </c>
      <c r="Q44" s="265"/>
      <c r="R44" s="265"/>
      <c r="S44" s="265"/>
      <c r="T44" s="265"/>
      <c r="U44" s="266"/>
      <c r="V44" s="267"/>
      <c r="W44" s="267"/>
      <c r="X44" s="267"/>
      <c r="AA44" s="159"/>
      <c r="AB44" s="58" t="s">
        <v>125</v>
      </c>
      <c r="AC44" s="271">
        <f t="shared" si="6"/>
        <v>8333.4</v>
      </c>
      <c r="AD44" s="159" t="s">
        <v>126</v>
      </c>
    </row>
    <row r="45" s="58" customFormat="1" ht="24.75" spans="1:27">
      <c r="A45" s="159"/>
      <c r="B45" s="192"/>
      <c r="C45" s="192"/>
      <c r="D45" s="192"/>
      <c r="E45" s="192"/>
      <c r="F45" s="192"/>
      <c r="G45" s="192"/>
      <c r="H45" s="192"/>
      <c r="I45" s="192"/>
      <c r="J45" s="192"/>
      <c r="K45" s="192"/>
      <c r="M45" s="234" t="s">
        <v>127</v>
      </c>
      <c r="N45" s="235"/>
      <c r="O45" s="235"/>
      <c r="P45" s="235"/>
      <c r="Q45" s="235"/>
      <c r="R45" s="235"/>
      <c r="S45" s="235"/>
      <c r="T45" s="268"/>
      <c r="AA45" s="159"/>
    </row>
    <row r="46" s="58" customFormat="1" ht="22.5" spans="1:28">
      <c r="A46" s="159"/>
      <c r="F46" s="192"/>
      <c r="G46" s="192"/>
      <c r="H46" s="192"/>
      <c r="I46" s="192"/>
      <c r="J46" s="192"/>
      <c r="L46" s="159"/>
      <c r="M46" s="236"/>
      <c r="N46" s="236"/>
      <c r="O46" s="236"/>
      <c r="P46" s="236"/>
      <c r="Q46" s="236"/>
      <c r="R46" s="236"/>
      <c r="S46" s="236"/>
      <c r="T46" s="228"/>
      <c r="U46" s="219"/>
      <c r="AA46" s="159"/>
      <c r="AB46" s="58" t="s">
        <v>128</v>
      </c>
    </row>
    <row r="47" s="58" customFormat="1" ht="24.75" spans="1:30">
      <c r="A47" s="159"/>
      <c r="F47" s="192"/>
      <c r="G47" s="192"/>
      <c r="H47" s="192"/>
      <c r="I47" s="192"/>
      <c r="J47" s="192"/>
      <c r="L47" s="58" t="s">
        <v>104</v>
      </c>
      <c r="M47" s="229">
        <v>0</v>
      </c>
      <c r="N47" s="230"/>
      <c r="O47" s="231"/>
      <c r="P47" s="232" t="s">
        <v>105</v>
      </c>
      <c r="Q47" s="259"/>
      <c r="R47" s="259"/>
      <c r="S47" s="259"/>
      <c r="T47" s="260"/>
      <c r="U47" s="261" t="s">
        <v>129</v>
      </c>
      <c r="V47" s="262"/>
      <c r="W47" s="262"/>
      <c r="X47" s="262"/>
      <c r="AB47" s="58" t="s">
        <v>107</v>
      </c>
      <c r="AC47" s="271">
        <v>0</v>
      </c>
      <c r="AD47" s="159" t="s">
        <v>108</v>
      </c>
    </row>
    <row r="48" s="58" customFormat="1" ht="24.75" spans="1:30">
      <c r="A48" s="159"/>
      <c r="F48" s="192"/>
      <c r="G48" s="192"/>
      <c r="H48" s="192"/>
      <c r="I48" s="192"/>
      <c r="J48" s="192"/>
      <c r="L48" s="58" t="str">
        <f t="shared" ref="L48:L53" si="7">AB48</f>
        <v>3.2词条</v>
      </c>
      <c r="M48" s="229">
        <v>5000</v>
      </c>
      <c r="N48" s="230"/>
      <c r="O48" s="231"/>
      <c r="P48" s="232" t="s">
        <v>109</v>
      </c>
      <c r="Q48" s="259"/>
      <c r="R48" s="259"/>
      <c r="S48" s="259"/>
      <c r="T48" s="260"/>
      <c r="U48" s="263"/>
      <c r="V48" s="264"/>
      <c r="W48" s="264"/>
      <c r="X48" s="264"/>
      <c r="AB48" s="58" t="s">
        <v>110</v>
      </c>
      <c r="AC48" s="271">
        <f t="shared" ref="AC48:AC53" si="8">M48</f>
        <v>5000</v>
      </c>
      <c r="AD48" s="159" t="s">
        <v>111</v>
      </c>
    </row>
    <row r="49" s="58" customFormat="1" ht="24.75" spans="1:30">
      <c r="A49" s="159"/>
      <c r="F49" s="192"/>
      <c r="G49" s="192"/>
      <c r="H49" s="192"/>
      <c r="I49" s="192"/>
      <c r="J49" s="192"/>
      <c r="L49" s="58" t="str">
        <f t="shared" si="7"/>
        <v>3.5词条</v>
      </c>
      <c r="M49" s="229">
        <f>M48+$S$16*6*10000*0.3</f>
        <v>5203.03636363636</v>
      </c>
      <c r="N49" s="230"/>
      <c r="O49" s="231"/>
      <c r="P49" s="232" t="s">
        <v>112</v>
      </c>
      <c r="Q49" s="259"/>
      <c r="R49" s="259"/>
      <c r="S49" s="259"/>
      <c r="T49" s="260"/>
      <c r="U49" s="263"/>
      <c r="V49" s="264"/>
      <c r="W49" s="264"/>
      <c r="X49" s="264"/>
      <c r="AB49" s="58" t="s">
        <v>113</v>
      </c>
      <c r="AC49" s="271">
        <f t="shared" si="8"/>
        <v>5203.03636363636</v>
      </c>
      <c r="AD49" s="159" t="s">
        <v>114</v>
      </c>
    </row>
    <row r="50" s="58" customFormat="1" ht="24.75" spans="1:30">
      <c r="A50" s="159"/>
      <c r="F50" s="193"/>
      <c r="G50" s="193"/>
      <c r="H50" s="192"/>
      <c r="I50" s="192"/>
      <c r="J50" s="192"/>
      <c r="L50" s="58" t="str">
        <f t="shared" si="7"/>
        <v>4.5词条</v>
      </c>
      <c r="M50" s="229">
        <f>M49+$S$16*6*10000*1</f>
        <v>5879.82424242424</v>
      </c>
      <c r="N50" s="230"/>
      <c r="O50" s="231"/>
      <c r="P50" s="232" t="s">
        <v>115</v>
      </c>
      <c r="Q50" s="259"/>
      <c r="R50" s="259"/>
      <c r="S50" s="259"/>
      <c r="T50" s="260"/>
      <c r="U50" s="263"/>
      <c r="V50" s="264"/>
      <c r="W50" s="264"/>
      <c r="X50" s="264"/>
      <c r="AB50" s="58" t="s">
        <v>116</v>
      </c>
      <c r="AC50" s="271">
        <f t="shared" si="8"/>
        <v>5879.82424242424</v>
      </c>
      <c r="AD50" s="159" t="s">
        <v>117</v>
      </c>
    </row>
    <row r="51" s="58" customFormat="1" ht="24.75" spans="1:30">
      <c r="A51" s="159"/>
      <c r="F51" s="192"/>
      <c r="G51" s="192"/>
      <c r="H51" s="192"/>
      <c r="I51" s="192"/>
      <c r="J51" s="192"/>
      <c r="L51" s="58" t="str">
        <f t="shared" si="7"/>
        <v>5.5词条</v>
      </c>
      <c r="M51" s="229">
        <f>M50+$S$16*6*10000*1</f>
        <v>6556.61212121212</v>
      </c>
      <c r="N51" s="230"/>
      <c r="O51" s="231"/>
      <c r="P51" s="232" t="s">
        <v>118</v>
      </c>
      <c r="Q51" s="259"/>
      <c r="R51" s="259"/>
      <c r="S51" s="259"/>
      <c r="T51" s="260"/>
      <c r="U51" s="263"/>
      <c r="V51" s="264"/>
      <c r="W51" s="264"/>
      <c r="X51" s="264"/>
      <c r="AB51" s="58" t="s">
        <v>119</v>
      </c>
      <c r="AC51" s="271">
        <f t="shared" si="8"/>
        <v>6556.61212121212</v>
      </c>
      <c r="AD51" s="159" t="s">
        <v>120</v>
      </c>
    </row>
    <row r="52" s="58" customFormat="1" ht="24.75" spans="1:30">
      <c r="A52" s="159"/>
      <c r="L52" s="58" t="str">
        <f t="shared" si="7"/>
        <v>6词条</v>
      </c>
      <c r="M52" s="229">
        <f>M51+$S$16*6*10000*0.5</f>
        <v>6895.00606060606</v>
      </c>
      <c r="N52" s="230"/>
      <c r="O52" s="231"/>
      <c r="P52" s="232" t="s">
        <v>121</v>
      </c>
      <c r="Q52" s="259"/>
      <c r="R52" s="259"/>
      <c r="S52" s="259"/>
      <c r="T52" s="260"/>
      <c r="U52" s="263"/>
      <c r="V52" s="264"/>
      <c r="W52" s="264"/>
      <c r="X52" s="264"/>
      <c r="AB52" s="58" t="s">
        <v>122</v>
      </c>
      <c r="AC52" s="271">
        <f t="shared" si="8"/>
        <v>6895.00606060606</v>
      </c>
      <c r="AD52" s="159" t="s">
        <v>123</v>
      </c>
    </row>
    <row r="53" s="58" customFormat="1" ht="24.75" spans="1:30">
      <c r="A53" s="191"/>
      <c r="L53" s="58" t="str">
        <f t="shared" si="7"/>
        <v>6.5词条</v>
      </c>
      <c r="M53" s="229">
        <f>M52+$S$16*6*10000*0.5</f>
        <v>7233.4</v>
      </c>
      <c r="N53" s="230"/>
      <c r="O53" s="231"/>
      <c r="P53" s="233" t="s">
        <v>124</v>
      </c>
      <c r="Q53" s="265"/>
      <c r="R53" s="265"/>
      <c r="S53" s="265"/>
      <c r="T53" s="265"/>
      <c r="U53" s="266"/>
      <c r="V53" s="267"/>
      <c r="W53" s="267"/>
      <c r="X53" s="267"/>
      <c r="AB53" s="58" t="s">
        <v>125</v>
      </c>
      <c r="AC53" s="271">
        <f t="shared" si="8"/>
        <v>7233.4</v>
      </c>
      <c r="AD53" s="159" t="s">
        <v>126</v>
      </c>
    </row>
    <row r="54" s="58" customFormat="1" ht="24.75" spans="1:20">
      <c r="A54" s="159"/>
      <c r="M54" s="234" t="s">
        <v>130</v>
      </c>
      <c r="N54" s="235"/>
      <c r="O54" s="235"/>
      <c r="P54" s="235"/>
      <c r="Q54" s="235"/>
      <c r="R54" s="235"/>
      <c r="S54" s="235"/>
      <c r="T54" s="268"/>
    </row>
    <row r="55" s="58" customFormat="1" ht="17.25" spans="1:1">
      <c r="A55" s="159"/>
    </row>
    <row r="56" s="58" customFormat="1" ht="17.25" spans="1:1">
      <c r="A56" s="159"/>
    </row>
    <row r="57" s="58" customFormat="1" ht="17.25" spans="1:1">
      <c r="A57" s="159"/>
    </row>
    <row r="58" s="58" customFormat="1" ht="17.25" spans="1:1">
      <c r="A58" s="159"/>
    </row>
    <row r="59" s="58" customFormat="1" ht="17.25" spans="1:1">
      <c r="A59" s="159"/>
    </row>
  </sheetData>
  <mergeCells count="84">
    <mergeCell ref="P1:Q1"/>
    <mergeCell ref="R1:S1"/>
    <mergeCell ref="AA1:AB1"/>
    <mergeCell ref="AC1:AD1"/>
    <mergeCell ref="M2:O2"/>
    <mergeCell ref="P2:Q2"/>
    <mergeCell ref="R2:S2"/>
    <mergeCell ref="T2:V2"/>
    <mergeCell ref="X2:Z2"/>
    <mergeCell ref="AA2:AB2"/>
    <mergeCell ref="AC2:AD2"/>
    <mergeCell ref="AE2:AG2"/>
    <mergeCell ref="M3:O3"/>
    <mergeCell ref="P3:Q3"/>
    <mergeCell ref="R3:S3"/>
    <mergeCell ref="T3:V3"/>
    <mergeCell ref="X3:Z3"/>
    <mergeCell ref="AA3:AB3"/>
    <mergeCell ref="AC3:AD3"/>
    <mergeCell ref="AE3:AG3"/>
    <mergeCell ref="B5:E5"/>
    <mergeCell ref="G5:K5"/>
    <mergeCell ref="M5:O5"/>
    <mergeCell ref="W5:Y5"/>
    <mergeCell ref="M6:O6"/>
    <mergeCell ref="M7:O7"/>
    <mergeCell ref="B16:C16"/>
    <mergeCell ref="G16:H16"/>
    <mergeCell ref="B18:E18"/>
    <mergeCell ref="G18:K18"/>
    <mergeCell ref="M18:N18"/>
    <mergeCell ref="O18:P18"/>
    <mergeCell ref="R18:S18"/>
    <mergeCell ref="T18:U18"/>
    <mergeCell ref="B28:C28"/>
    <mergeCell ref="G28:H28"/>
    <mergeCell ref="M30:N30"/>
    <mergeCell ref="O30:P30"/>
    <mergeCell ref="R30:S30"/>
    <mergeCell ref="T30:U30"/>
    <mergeCell ref="M36:T36"/>
    <mergeCell ref="M37:P37"/>
    <mergeCell ref="Q37:S37"/>
    <mergeCell ref="AB37:AD37"/>
    <mergeCell ref="M38:O38"/>
    <mergeCell ref="P38:T38"/>
    <mergeCell ref="M39:O39"/>
    <mergeCell ref="P39:T39"/>
    <mergeCell ref="M40:O40"/>
    <mergeCell ref="P40:T40"/>
    <mergeCell ref="M41:O41"/>
    <mergeCell ref="P41:T41"/>
    <mergeCell ref="M42:O42"/>
    <mergeCell ref="P42:T42"/>
    <mergeCell ref="M43:O43"/>
    <mergeCell ref="P43:T43"/>
    <mergeCell ref="M44:O44"/>
    <mergeCell ref="P44:T44"/>
    <mergeCell ref="M45:T45"/>
    <mergeCell ref="AB46:AD46"/>
    <mergeCell ref="M47:O47"/>
    <mergeCell ref="P47:T47"/>
    <mergeCell ref="M48:O48"/>
    <mergeCell ref="P48:T48"/>
    <mergeCell ref="M49:O49"/>
    <mergeCell ref="P49:T49"/>
    <mergeCell ref="M50:O50"/>
    <mergeCell ref="P50:T50"/>
    <mergeCell ref="M51:O51"/>
    <mergeCell ref="P51:T51"/>
    <mergeCell ref="M52:O52"/>
    <mergeCell ref="P52:T52"/>
    <mergeCell ref="M53:O53"/>
    <mergeCell ref="P53:T53"/>
    <mergeCell ref="M54:T54"/>
    <mergeCell ref="L5:L6"/>
    <mergeCell ref="P5:P6"/>
    <mergeCell ref="B1:K2"/>
    <mergeCell ref="B3:K4"/>
    <mergeCell ref="Q5:S6"/>
    <mergeCell ref="T5:V6"/>
    <mergeCell ref="O8:P14"/>
    <mergeCell ref="U38:X44"/>
    <mergeCell ref="U47:X53"/>
  </mergeCells>
  <conditionalFormatting sqref="D9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{fd37df06-0cce-4ba6-86d2-362bb972287e}</x14:id>
        </ext>
      </extLst>
    </cfRule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{bd07cae8-ad68-49bf-9f1e-9a840aab379a}</x14:id>
        </ext>
      </extLst>
    </cfRule>
  </conditionalFormatting>
  <conditionalFormatting sqref="S1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{95b07c2e-e1b1-4f30-b513-d53ed3cb68e9}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{40805245-9ccd-4e9a-a360-70758d5575a2}</x14:id>
        </ext>
      </extLst>
    </cfRule>
  </conditionalFormatting>
  <conditionalFormatting sqref="V1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{2f090e31-b893-4458-989b-29b75782708d}</x14:id>
        </ext>
      </extLst>
    </cfRule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{5760660e-e9e8-4cff-8253-741a88c444b8}</x14:id>
        </ext>
      </extLst>
    </cfRule>
  </conditionalFormatting>
  <conditionalFormatting sqref="V20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{d2bcaabc-bdb6-4595-9032-301289ea79e7}</x14:id>
        </ext>
      </extLst>
    </cfRule>
  </conditionalFormatting>
  <conditionalFormatting sqref="D2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{1d28f6e2-a45c-44e1-845f-52764b61096b}</x14:id>
        </ext>
      </extLst>
    </cfRule>
  </conditionalFormatting>
  <conditionalFormatting sqref="I24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{803220c7-101b-42bb-a160-842d7d29afee}</x14:id>
        </ext>
      </extLst>
    </cfRule>
  </conditionalFormatting>
  <conditionalFormatting sqref="D2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{3f408d7a-2be5-4911-a6c9-fa268e3c96fb}</x14:id>
        </ext>
      </extLst>
    </cfRule>
  </conditionalFormatting>
  <conditionalFormatting sqref="I7:I15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{309bb4b2-06e5-40d3-8e65-4f5186d8e580}</x14:id>
        </ext>
      </extLst>
    </cfRule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{e6e4f80a-ef00-4a09-ac6c-fa629c90def5}</x14:id>
        </ext>
      </extLst>
    </cfRule>
  </conditionalFormatting>
  <conditionalFormatting sqref="S7:S1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{151f6a98-a81b-4ec8-be5f-eda2839c9564}</x14:id>
        </ext>
      </extLst>
    </cfRule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{362658b5-197f-407a-8537-fdd6bd2c8620}</x14:id>
        </ext>
      </extLst>
    </cfRule>
  </conditionalFormatting>
  <conditionalFormatting sqref="S7:S15">
    <cfRule type="top10" dxfId="0" priority="1" rank="3"/>
  </conditionalFormatting>
  <conditionalFormatting sqref="V7:V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{816d5d44-9455-48d3-8cf1-31e92a4ecbd3}</x14:id>
        </ext>
      </extLst>
    </cfRule>
  </conditionalFormatting>
  <conditionalFormatting sqref="V7:V15">
    <cfRule type="top10" dxfId="0" priority="6" rank="3"/>
  </conditionalFormatting>
  <conditionalFormatting sqref="D7:D8 D10:D15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{f539b5be-98ed-47e6-8cf4-18e4f857257c}</x14:id>
        </ext>
      </extLst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{94b55ccd-fdb4-42c7-872d-97c1af5c3952}</x14:id>
        </ext>
      </extLst>
    </cfRule>
  </conditionalFormatting>
  <conditionalFormatting sqref="V7:V14 V20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{125baa2e-2b67-48b5-be49-7de681f2ca1b}</x14:id>
        </ext>
      </extLst>
    </cfRule>
  </conditionalFormatting>
  <conditionalFormatting sqref="D19:D23 D25:D2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{794e25d7-ebed-47f1-82ab-d32459fc5a7a}</x14:id>
        </ext>
      </extLst>
    </cfRule>
  </conditionalFormatting>
  <conditionalFormatting sqref="I19:I23 I25:I2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{0c1a8688-e46f-4bb9-baf3-4b34e34472ae}</x14:id>
        </ext>
      </extLst>
    </cfRule>
  </conditionalFormatting>
  <dataValidations count="4">
    <dataValidation type="list" allowBlank="1" showInputMessage="1" showErrorMessage="1" sqref="N8">
      <formula1>"无,1金,2金,3金"</formula1>
    </dataValidation>
    <dataValidation type="list" allowBlank="1" showInputMessage="1" showErrorMessage="1" sqref="N9">
      <formula1>"无,1火,2火,3火"</formula1>
    </dataValidation>
    <dataValidation type="list" allowBlank="1" showInputMessage="1" showErrorMessage="1" sqref="C43 H43">
      <formula1>#REF!</formula1>
    </dataValidation>
    <dataValidation type="list" allowBlank="1" showInputMessage="1" showErrorMessage="1" sqref="N20:N22 N24:N28 S20:S22 S24:S28">
      <formula1>"普通,灵韵"</formula1>
    </dataValidation>
  </dataValidations>
  <pageMargins left="0.7" right="0.7" top="0.75" bottom="0.75" header="0.3" footer="0.3"/>
  <pageSetup paperSize="9" orientation="portrait"/>
  <headerFooter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37df06-0cce-4ba6-86d2-362bb97228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d07cae8-ad68-49bf-9f1e-9a840aab37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D9</xm:sqref>
        </x14:conditionalFormatting>
        <x14:conditionalFormatting xmlns:xm="http://schemas.microsoft.com/office/excel/2006/main">
          <x14:cfRule type="dataBar" id="{95b07c2e-e1b1-4f30-b513-d53ed3cb68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0805245-9ccd-4e9a-a360-70758d5575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S15</xm:sqref>
        </x14:conditionalFormatting>
        <x14:conditionalFormatting xmlns:xm="http://schemas.microsoft.com/office/excel/2006/main">
          <x14:cfRule type="dataBar" id="{2f090e31-b893-4458-989b-29b7578270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760660e-e9e8-4cff-8253-741a88c444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V15</xm:sqref>
        </x14:conditionalFormatting>
        <x14:conditionalFormatting xmlns:xm="http://schemas.microsoft.com/office/excel/2006/main">
          <x14:cfRule type="dataBar" id="{d2bcaabc-bdb6-4595-9032-301289ea79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1d28f6e2-a45c-44e1-845f-52764b6109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D24</xm:sqref>
        </x14:conditionalFormatting>
        <x14:conditionalFormatting xmlns:xm="http://schemas.microsoft.com/office/excel/2006/main">
          <x14:cfRule type="dataBar" id="{803220c7-101b-42bb-a160-842d7d29a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I24</xm:sqref>
        </x14:conditionalFormatting>
        <x14:conditionalFormatting xmlns:xm="http://schemas.microsoft.com/office/excel/2006/main">
          <x14:cfRule type="dataBar" id="{3f408d7a-2be5-4911-a6c9-fa268e3c96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D27</xm:sqref>
        </x14:conditionalFormatting>
        <x14:conditionalFormatting xmlns:xm="http://schemas.microsoft.com/office/excel/2006/main">
          <x14:cfRule type="dataBar" id="{309bb4b2-06e5-40d3-8e65-4f5186d8e5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6e4f80a-ef00-4a09-ac6c-fa629c90de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I7:I15</xm:sqref>
        </x14:conditionalFormatting>
        <x14:conditionalFormatting xmlns:xm="http://schemas.microsoft.com/office/excel/2006/main">
          <x14:cfRule type="dataBar" id="{151f6a98-a81b-4ec8-be5f-eda2839c95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62658b5-197f-407a-8537-fdd6bd2c86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S7:S14</xm:sqref>
        </x14:conditionalFormatting>
        <x14:conditionalFormatting xmlns:xm="http://schemas.microsoft.com/office/excel/2006/main">
          <x14:cfRule type="dataBar" id="{816d5d44-9455-48d3-8cf1-31e92a4ecb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V7:V14</xm:sqref>
        </x14:conditionalFormatting>
        <x14:conditionalFormatting xmlns:xm="http://schemas.microsoft.com/office/excel/2006/main">
          <x14:cfRule type="dataBar" id="{f539b5be-98ed-47e6-8cf4-18e4f85725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4b55ccd-fdb4-42c7-872d-97c1af5c39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D7:D8 D10:D15</xm:sqref>
        </x14:conditionalFormatting>
        <x14:conditionalFormatting xmlns:xm="http://schemas.microsoft.com/office/excel/2006/main">
          <x14:cfRule type="dataBar" id="{125baa2e-2b67-48b5-be49-7de681f2ca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V7:V14 V20</xm:sqref>
        </x14:conditionalFormatting>
        <x14:conditionalFormatting xmlns:xm="http://schemas.microsoft.com/office/excel/2006/main">
          <x14:cfRule type="dataBar" id="{794e25d7-ebed-47f1-82ab-d32459fc5a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D19:D23 D25:D26</xm:sqref>
        </x14:conditionalFormatting>
        <x14:conditionalFormatting xmlns:xm="http://schemas.microsoft.com/office/excel/2006/main">
          <x14:cfRule type="dataBar" id="{0c1a8688-e46f-4bb9-baf3-4b34e34472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I19:I23 I25:I27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68"/>
  <sheetViews>
    <sheetView showGridLines="0" tabSelected="1" workbookViewId="0">
      <selection activeCell="D46" sqref="D46:D47"/>
    </sheetView>
  </sheetViews>
  <sheetFormatPr defaultColWidth="9" defaultRowHeight="18.75"/>
  <cols>
    <col min="2" max="2" width="17.4416666666667" customWidth="1"/>
    <col min="3" max="3" width="12.4416666666667" customWidth="1"/>
    <col min="4" max="4" width="12.4083333333333" customWidth="1"/>
    <col min="5" max="5" width="15.2833333333333" customWidth="1"/>
    <col min="6" max="6" width="20.775" customWidth="1"/>
    <col min="7" max="7" width="12.4416666666667" customWidth="1"/>
    <col min="8" max="8" width="11.7583333333333" customWidth="1"/>
    <col min="9" max="9" width="15.425" customWidth="1"/>
    <col min="10" max="10" width="15.6666666666667" customWidth="1"/>
    <col min="11" max="11" width="17.3" customWidth="1"/>
    <col min="12" max="12" width="18.6666666666667" customWidth="1"/>
    <col min="13" max="13" width="14.1166666666667" customWidth="1"/>
    <col min="14" max="14" width="16.9916666666667" customWidth="1"/>
    <col min="15" max="15" width="17.7666666666667" customWidth="1"/>
    <col min="16" max="16" width="11.7583333333333" customWidth="1"/>
    <col min="17" max="17" width="12.5333333333333" customWidth="1"/>
    <col min="18" max="18" width="17.6416666666667" customWidth="1"/>
    <col min="19" max="19" width="14.1333333333333" customWidth="1"/>
    <col min="20" max="20" width="15.8166666666667" customWidth="1"/>
    <col min="21" max="21" width="9.01666666666667" customWidth="1"/>
    <col min="22" max="22" width="14.7666666666667" customWidth="1"/>
    <col min="23" max="23" width="12.9333333333333" customWidth="1"/>
    <col min="24" max="24" width="14.25" customWidth="1"/>
    <col min="25" max="25" width="9.93333333333333" customWidth="1"/>
    <col min="26" max="26" width="12.675" style="33" customWidth="1"/>
    <col min="27" max="27" width="14.2416666666667" style="33" customWidth="1"/>
    <col min="28" max="28" width="18.1083333333333" style="33" customWidth="1"/>
    <col min="29" max="29" width="11.5" style="33" customWidth="1"/>
    <col min="30" max="30" width="9" style="33" customWidth="1"/>
    <col min="31" max="31" width="10.45" style="33" customWidth="1"/>
    <col min="32" max="32" width="12.1083333333333" style="33" hidden="1" customWidth="1"/>
    <col min="33" max="33" width="6.35" style="33" hidden="1" customWidth="1"/>
    <col min="34" max="34" width="9.68333333333333" style="33" hidden="1" customWidth="1"/>
    <col min="35" max="35" width="9.66666666666667" style="33" hidden="1" customWidth="1"/>
    <col min="36" max="36" width="11.1083333333333" hidden="1" customWidth="1"/>
    <col min="37" max="47" width="9" hidden="1" customWidth="1"/>
    <col min="48" max="48" width="12.8916666666667" hidden="1" customWidth="1"/>
    <col min="49" max="49" width="9" hidden="1" customWidth="1"/>
    <col min="50" max="51" width="9.66666666666667" hidden="1" customWidth="1"/>
    <col min="52" max="54" width="9" hidden="1" customWidth="1"/>
    <col min="55" max="55" width="8.44166666666667" hidden="1" customWidth="1"/>
    <col min="56" max="58" width="9" hidden="1" customWidth="1"/>
    <col min="59" max="59" width="8" hidden="1" customWidth="1"/>
    <col min="60" max="61" width="9" hidden="1" customWidth="1"/>
  </cols>
  <sheetData>
    <row r="1" ht="48.75" spans="1:36">
      <c r="A1" s="34" t="s">
        <v>131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AH1" s="155"/>
      <c r="AI1" s="155"/>
      <c r="AJ1" s="155"/>
    </row>
    <row r="2" ht="25.5" spans="1:38">
      <c r="A2" s="35" t="s">
        <v>132</v>
      </c>
      <c r="B2" s="36"/>
      <c r="C2" s="36"/>
      <c r="D2" s="36"/>
      <c r="E2" s="36"/>
      <c r="F2" s="35"/>
      <c r="G2" s="36"/>
      <c r="H2" s="36"/>
      <c r="I2" s="36"/>
      <c r="J2" s="36"/>
      <c r="K2" s="36"/>
      <c r="L2" s="35"/>
      <c r="M2" s="36"/>
      <c r="N2" s="36"/>
      <c r="O2" s="36"/>
      <c r="P2" s="36"/>
      <c r="Q2" s="35"/>
      <c r="R2" s="35"/>
      <c r="S2" s="35"/>
      <c r="T2" s="35"/>
      <c r="U2" s="35"/>
      <c r="V2" s="35"/>
      <c r="W2" s="35"/>
      <c r="X2" s="35"/>
      <c r="AG2" s="155" t="s">
        <v>133</v>
      </c>
      <c r="AH2" s="155"/>
      <c r="AI2" s="155"/>
      <c r="AJ2" s="155" t="s">
        <v>134</v>
      </c>
      <c r="AK2" s="155"/>
      <c r="AL2" s="155"/>
    </row>
    <row r="3" ht="38.25" spans="1:44">
      <c r="A3" s="37"/>
      <c r="B3" s="38" t="s">
        <v>135</v>
      </c>
      <c r="C3" s="39"/>
      <c r="D3" s="39"/>
      <c r="E3" s="39"/>
      <c r="F3" s="39"/>
      <c r="G3" s="39"/>
      <c r="H3" s="39"/>
      <c r="I3" s="94"/>
      <c r="K3" s="95" t="s">
        <v>136</v>
      </c>
      <c r="L3" s="95"/>
      <c r="M3" s="95"/>
      <c r="N3" s="95"/>
      <c r="O3" s="95"/>
      <c r="P3" s="96" t="s">
        <v>137</v>
      </c>
      <c r="Q3" s="96"/>
      <c r="R3" s="123">
        <v>120</v>
      </c>
      <c r="U3" s="124" t="s">
        <v>138</v>
      </c>
      <c r="V3" s="125"/>
      <c r="W3" s="125"/>
      <c r="X3" s="125"/>
      <c r="Y3" s="125"/>
      <c r="Z3" s="125"/>
      <c r="AA3" s="141"/>
      <c r="AB3" s="142"/>
      <c r="AC3" s="143"/>
      <c r="AD3"/>
      <c r="AH3" s="33" t="s">
        <v>139</v>
      </c>
      <c r="AI3" s="33" t="s">
        <v>140</v>
      </c>
      <c r="AJ3" s="33"/>
      <c r="AK3" s="33" t="s">
        <v>139</v>
      </c>
      <c r="AL3" s="33" t="s">
        <v>140</v>
      </c>
      <c r="AO3" s="155" t="s">
        <v>12</v>
      </c>
      <c r="AP3" t="s">
        <v>141</v>
      </c>
      <c r="AQ3" t="s">
        <v>142</v>
      </c>
      <c r="AR3" t="s">
        <v>143</v>
      </c>
    </row>
    <row r="4" ht="31.5" spans="1:60">
      <c r="A4" s="37"/>
      <c r="B4" s="40" t="s">
        <v>24</v>
      </c>
      <c r="C4" s="41">
        <v>33</v>
      </c>
      <c r="D4" s="42" cm="1">
        <f t="array" ref="D4">IFERROR(_xlfn.IFS(K4=AO9,攻击(C4,0)*1.05*(1+AP9/第一套计算!J2),K4=AO11,攻击(C4,0)*1.05*(1+AP11/第一套计算!J2),K4=AO12,攻击(C4,0)*1.05*(1+AP12/第一套计算!J2)),攻击(C4,0)*1.05)</f>
        <v>0.0156038235294118</v>
      </c>
      <c r="E4" s="43" t="s">
        <v>144</v>
      </c>
      <c r="F4" s="44" t="s">
        <v>26</v>
      </c>
      <c r="G4" s="41">
        <f>$C$5</f>
        <v>10</v>
      </c>
      <c r="H4" s="42">
        <f>G4*74/G12*H12</f>
        <v>0.00920706357214934</v>
      </c>
      <c r="I4" s="43" t="s">
        <v>145</v>
      </c>
      <c r="K4" s="97" t="s">
        <v>146</v>
      </c>
      <c r="L4" s="98"/>
      <c r="M4" s="98"/>
      <c r="N4" s="98"/>
      <c r="O4" s="98"/>
      <c r="P4" s="96" t="s">
        <v>147</v>
      </c>
      <c r="Q4" s="96"/>
      <c r="R4" s="123">
        <v>7</v>
      </c>
      <c r="U4" s="126">
        <v>0</v>
      </c>
      <c r="V4" s="126" t="s">
        <v>103</v>
      </c>
      <c r="W4" s="126">
        <v>0</v>
      </c>
      <c r="X4" s="126" t="s">
        <v>128</v>
      </c>
      <c r="Y4" s="130" t="s">
        <v>148</v>
      </c>
      <c r="Z4" s="131"/>
      <c r="AA4" s="144"/>
      <c r="AB4" s="145" t="s">
        <v>149</v>
      </c>
      <c r="AC4" s="146"/>
      <c r="AD4" s="147" t="s">
        <v>107</v>
      </c>
      <c r="AF4" s="33" t="s">
        <v>72</v>
      </c>
      <c r="AG4" s="33">
        <f>ROUND(360+J26*2000,0)</f>
        <v>678</v>
      </c>
      <c r="AH4" s="156"/>
      <c r="AI4" s="33">
        <f>AI22</f>
        <v>0.036</v>
      </c>
      <c r="AJ4" s="33">
        <f>ROUND(360+J39*2000,0)</f>
        <v>708</v>
      </c>
      <c r="AK4" s="156"/>
      <c r="AL4" s="33">
        <f>AL22</f>
        <v>0.036</v>
      </c>
      <c r="AO4" s="155" t="s">
        <v>150</v>
      </c>
      <c r="AQ4" s="14">
        <v>0.05</v>
      </c>
      <c r="BC4" s="147">
        <f t="shared" ref="BC4:BC10" si="0">U4</f>
        <v>0</v>
      </c>
      <c r="BD4" s="157" t="s">
        <v>108</v>
      </c>
      <c r="BG4" s="147">
        <f>W11</f>
        <v>0</v>
      </c>
      <c r="BH4" s="157" t="s">
        <v>108</v>
      </c>
    </row>
    <row r="5" ht="23.25" spans="1:60">
      <c r="A5" s="37"/>
      <c r="B5" s="45" t="s">
        <v>27</v>
      </c>
      <c r="C5" s="46">
        <v>10</v>
      </c>
      <c r="D5" s="42">
        <f>(C5*2.5)/C4*D4+C5/C7*D7</f>
        <v>0.0156088696228043</v>
      </c>
      <c r="E5" s="47"/>
      <c r="F5" s="48" t="s">
        <v>31</v>
      </c>
      <c r="G5" s="46">
        <f>$C$5</f>
        <v>10</v>
      </c>
      <c r="H5" s="42">
        <f>G5*2.75/G7*H7</f>
        <v>0.0104166666666667</v>
      </c>
      <c r="I5" s="47"/>
      <c r="P5" s="1" t="s">
        <v>151</v>
      </c>
      <c r="Q5" s="1"/>
      <c r="R5" s="1"/>
      <c r="S5" s="1"/>
      <c r="T5" s="1"/>
      <c r="U5" s="127">
        <v>7400</v>
      </c>
      <c r="V5" s="127" t="s">
        <v>152</v>
      </c>
      <c r="W5" s="127">
        <v>6900</v>
      </c>
      <c r="X5" s="127" t="s">
        <v>153</v>
      </c>
      <c r="Y5" s="130" t="s">
        <v>154</v>
      </c>
      <c r="Z5" s="131"/>
      <c r="AA5" s="144"/>
      <c r="AB5" s="148"/>
      <c r="AC5" s="149"/>
      <c r="AD5" s="147" t="s">
        <v>155</v>
      </c>
      <c r="AF5" s="33" t="s">
        <v>75</v>
      </c>
      <c r="AG5" s="33">
        <f>ROUND((4%/(L26-L19)+(C20+C21)*0.3)*10000,0)</f>
        <v>695</v>
      </c>
      <c r="AH5" s="156">
        <f>L19</f>
        <v>0.06</v>
      </c>
      <c r="AJ5" s="33">
        <f>ROUND((4%/(L39-L32)+(C20+C21)*0.3)*10000,0)</f>
        <v>760</v>
      </c>
      <c r="AK5" s="156">
        <f>L32</f>
        <v>0.04</v>
      </c>
      <c r="AL5" s="33"/>
      <c r="AO5" s="155" t="s">
        <v>23</v>
      </c>
      <c r="BC5" s="147">
        <f t="shared" si="0"/>
        <v>7400</v>
      </c>
      <c r="BD5" s="157" t="s">
        <v>111</v>
      </c>
      <c r="BG5" s="147">
        <f t="shared" ref="BG5:BG10" si="1">W5</f>
        <v>6900</v>
      </c>
      <c r="BH5" s="157" t="s">
        <v>111</v>
      </c>
    </row>
    <row r="6" ht="24" customHeight="1" spans="1:60">
      <c r="A6" s="37"/>
      <c r="B6" s="49" t="s">
        <v>36</v>
      </c>
      <c r="C6" s="50">
        <v>36</v>
      </c>
      <c r="D6" s="42">
        <f>C6/2/C4*D4</f>
        <v>0.00851117647058824</v>
      </c>
      <c r="E6" s="47"/>
      <c r="F6" s="49" t="s">
        <v>37</v>
      </c>
      <c r="G6" s="50">
        <f>$C$6</f>
        <v>36</v>
      </c>
      <c r="H6" s="42">
        <f>G6/2/G7*H7</f>
        <v>0.00681818181818182</v>
      </c>
      <c r="I6" s="47"/>
      <c r="K6" s="99" t="s">
        <v>156</v>
      </c>
      <c r="L6" s="99"/>
      <c r="M6" s="99"/>
      <c r="N6" s="99"/>
      <c r="O6" s="99"/>
      <c r="P6" s="72" t="s">
        <v>157</v>
      </c>
      <c r="Q6" s="72" t="s">
        <v>158</v>
      </c>
      <c r="R6" s="72" t="s">
        <v>159</v>
      </c>
      <c r="S6" s="72" t="s">
        <v>65</v>
      </c>
      <c r="T6" s="72" t="s">
        <v>160</v>
      </c>
      <c r="U6" s="127">
        <f>U5+$E$7*6*10000*0.9</f>
        <v>8045.61313215466</v>
      </c>
      <c r="V6" s="127" t="s">
        <v>161</v>
      </c>
      <c r="W6" s="127">
        <f>W5+$E$7*6*10000*1.6</f>
        <v>8047.75667938606</v>
      </c>
      <c r="X6" s="127" t="s">
        <v>161</v>
      </c>
      <c r="Y6" s="130" t="s">
        <v>162</v>
      </c>
      <c r="Z6" s="131"/>
      <c r="AA6" s="144"/>
      <c r="AB6" s="148"/>
      <c r="AC6" s="149"/>
      <c r="AD6" s="147" t="s">
        <v>116</v>
      </c>
      <c r="AF6" s="33" t="s">
        <v>163</v>
      </c>
      <c r="AG6" s="33">
        <f>ROUND(5.6%/($L$26-L20)*10000,0)</f>
        <v>477</v>
      </c>
      <c r="AH6" s="156">
        <f>L33</f>
        <v>0</v>
      </c>
      <c r="AJ6" s="33">
        <f>ROUND(5.6%/(L39-L33)*10000,0)</f>
        <v>538</v>
      </c>
      <c r="AK6" s="156">
        <f>IFERROR(IF(VLOOKUP(AI6,#REF!,2,0)="普通",5.6%,8.1%),0)</f>
        <v>0</v>
      </c>
      <c r="AL6" s="33"/>
      <c r="AO6" s="155" t="s">
        <v>164</v>
      </c>
      <c r="BC6" s="147">
        <f t="shared" si="0"/>
        <v>8045.61313215466</v>
      </c>
      <c r="BD6" s="157" t="s">
        <v>114</v>
      </c>
      <c r="BG6" s="147">
        <f t="shared" si="1"/>
        <v>8047.75667938606</v>
      </c>
      <c r="BH6" s="157" t="s">
        <v>114</v>
      </c>
    </row>
    <row r="7" ht="26.25" spans="1:60">
      <c r="A7" s="37"/>
      <c r="B7" s="51" t="s">
        <v>39</v>
      </c>
      <c r="C7" s="50">
        <v>33</v>
      </c>
      <c r="D7" s="42" cm="1">
        <f t="array" ref="D7">破防(C7,0)*0.95</f>
        <v>0.0124997109317248</v>
      </c>
      <c r="E7" s="47">
        <f>AVERAGE(D4:D12)</f>
        <v>0.0119557987436048</v>
      </c>
      <c r="F7" s="51" t="s">
        <v>41</v>
      </c>
      <c r="G7" s="46">
        <f>$C$7</f>
        <v>33</v>
      </c>
      <c r="H7" s="42">
        <f>1.25%</f>
        <v>0.0125</v>
      </c>
      <c r="I7" s="47">
        <f>AVERAGE(H4:H11)</f>
        <v>0.00861172113188652</v>
      </c>
      <c r="K7" s="100" t="s">
        <v>4</v>
      </c>
      <c r="L7" s="101">
        <f>SUM(P7:T7)</f>
        <v>9000</v>
      </c>
      <c r="M7" s="102"/>
      <c r="N7" s="103" t="str">
        <f>VLOOKUP(L7,$BC$4:$BD$10,2,TRUE)</f>
        <v>拆之巅、傲世间</v>
      </c>
      <c r="O7" s="104"/>
      <c r="P7" s="72">
        <f>ROUND(G26,0)</f>
        <v>3237</v>
      </c>
      <c r="Q7" s="72">
        <f>ROUND(SUM($D$16:$D$19),0)</f>
        <v>1777</v>
      </c>
      <c r="R7" s="72">
        <f>ROUND($Q$26,0)</f>
        <v>2634</v>
      </c>
      <c r="S7" s="72">
        <f>ROUND(U26,0)</f>
        <v>576</v>
      </c>
      <c r="T7" s="72">
        <f>$H$26</f>
        <v>776</v>
      </c>
      <c r="U7" s="127">
        <f>U6+$E$7*6*10000*1</f>
        <v>8762.96105677095</v>
      </c>
      <c r="V7" s="127" t="s">
        <v>165</v>
      </c>
      <c r="W7" s="127">
        <f>W6+$E$7*6*10000*1</f>
        <v>8765.10460400235</v>
      </c>
      <c r="X7" s="127" t="s">
        <v>165</v>
      </c>
      <c r="Y7" s="130" t="s">
        <v>117</v>
      </c>
      <c r="Z7" s="131"/>
      <c r="AA7" s="144"/>
      <c r="AB7" s="148"/>
      <c r="AC7" s="149"/>
      <c r="AD7" s="147" t="s">
        <v>166</v>
      </c>
      <c r="AF7" s="33" t="s">
        <v>76</v>
      </c>
      <c r="AG7" s="33">
        <v>550</v>
      </c>
      <c r="AH7" s="156"/>
      <c r="AJ7" s="33">
        <v>550</v>
      </c>
      <c r="AK7" s="156"/>
      <c r="AL7" s="33"/>
      <c r="AO7" s="155" t="s">
        <v>146</v>
      </c>
      <c r="AV7" t="s">
        <v>35</v>
      </c>
      <c r="AW7" t="s">
        <v>167</v>
      </c>
      <c r="AX7" t="s">
        <v>168</v>
      </c>
      <c r="BC7" s="147">
        <f t="shared" si="0"/>
        <v>8762.96105677095</v>
      </c>
      <c r="BD7" s="157" t="s">
        <v>117</v>
      </c>
      <c r="BG7" s="147">
        <f t="shared" si="1"/>
        <v>8765.10460400235</v>
      </c>
      <c r="BH7" s="157" t="s">
        <v>117</v>
      </c>
    </row>
    <row r="8" ht="26.25" spans="1:60">
      <c r="A8" s="37"/>
      <c r="B8" s="51" t="s">
        <v>43</v>
      </c>
      <c r="C8" s="52">
        <v>0.012</v>
      </c>
      <c r="D8" s="42">
        <f>1.1%</f>
        <v>0.011</v>
      </c>
      <c r="E8" s="47"/>
      <c r="F8" s="51" t="s">
        <v>45</v>
      </c>
      <c r="G8" s="53">
        <f>$C$8</f>
        <v>0.012</v>
      </c>
      <c r="H8" s="42">
        <f>G8/1.07</f>
        <v>0.011214953271028</v>
      </c>
      <c r="I8" s="47"/>
      <c r="K8" s="100" t="s">
        <v>7</v>
      </c>
      <c r="L8" s="101">
        <f>SUM(P8:T8)</f>
        <v>7609</v>
      </c>
      <c r="M8" s="102"/>
      <c r="N8" s="105" t="str">
        <f>VLOOKUP(L8,$BC$4:$BD$10,2,TRUE)</f>
        <v>饮水机管理员</v>
      </c>
      <c r="O8" s="106"/>
      <c r="P8" s="107">
        <f>ROUND(G39,0)</f>
        <v>3547</v>
      </c>
      <c r="Q8" s="107">
        <f>ROUND(SUM($D$16:$D$19),0)</f>
        <v>1777</v>
      </c>
      <c r="R8" s="107">
        <f>ROUND($Q$40,0)</f>
        <v>1709</v>
      </c>
      <c r="S8" s="107">
        <f>ROUND(U40,0)</f>
        <v>576</v>
      </c>
      <c r="T8" s="107">
        <f>$H$39</f>
        <v>0</v>
      </c>
      <c r="U8" s="127">
        <f>U7+$E$7*6*10000*0.5</f>
        <v>9121.63501907909</v>
      </c>
      <c r="V8" s="127" t="s">
        <v>169</v>
      </c>
      <c r="W8" s="127">
        <f t="shared" ref="W6:W10" si="2">W7+$E$7*6*10000*0.5</f>
        <v>9123.7785663105</v>
      </c>
      <c r="X8" s="127" t="s">
        <v>169</v>
      </c>
      <c r="Y8" s="130" t="s">
        <v>120</v>
      </c>
      <c r="Z8" s="131"/>
      <c r="AA8" s="144"/>
      <c r="AB8" s="148"/>
      <c r="AC8" s="149"/>
      <c r="AD8" s="147" t="s">
        <v>119</v>
      </c>
      <c r="AH8" s="156"/>
      <c r="AJ8" s="33"/>
      <c r="AK8" s="156"/>
      <c r="AL8" s="33"/>
      <c r="AO8" s="155" t="s">
        <v>170</v>
      </c>
      <c r="AU8" t="s">
        <v>57</v>
      </c>
      <c r="AV8" s="14">
        <v>0.04</v>
      </c>
      <c r="AW8" s="12">
        <v>0.024</v>
      </c>
      <c r="AX8" s="12">
        <v>0.012</v>
      </c>
      <c r="BC8" s="147">
        <f t="shared" si="0"/>
        <v>9121.63501907909</v>
      </c>
      <c r="BD8" s="157" t="s">
        <v>120</v>
      </c>
      <c r="BG8" s="147">
        <f t="shared" si="1"/>
        <v>9123.7785663105</v>
      </c>
      <c r="BH8" s="157" t="s">
        <v>120</v>
      </c>
    </row>
    <row r="9" ht="23.25" spans="1:60">
      <c r="A9" s="37"/>
      <c r="B9" s="51" t="s">
        <v>47</v>
      </c>
      <c r="C9" s="50">
        <v>66</v>
      </c>
      <c r="D9" s="42" cm="1">
        <f t="array" ref="D9">会心(C9,0)*0.9</f>
        <v>0.0122068691481583</v>
      </c>
      <c r="E9" s="47"/>
      <c r="F9" s="54" t="s">
        <v>49</v>
      </c>
      <c r="G9" s="46">
        <f>$C$9</f>
        <v>66</v>
      </c>
      <c r="H9" s="42" cm="1">
        <f t="array" ref="H9">会抗(G9,0)</f>
        <v>0.0101363577539867</v>
      </c>
      <c r="I9" s="47"/>
      <c r="K9" s="1"/>
      <c r="L9" s="1"/>
      <c r="M9" s="1"/>
      <c r="N9" s="1"/>
      <c r="O9" s="1"/>
      <c r="T9" s="1"/>
      <c r="U9" s="127">
        <f>U8+$E$7*6*10000*0.5</f>
        <v>9480.30898138724</v>
      </c>
      <c r="V9" s="127" t="s">
        <v>171</v>
      </c>
      <c r="W9" s="127">
        <f t="shared" si="2"/>
        <v>9482.45252861864</v>
      </c>
      <c r="X9" s="127" t="s">
        <v>171</v>
      </c>
      <c r="Y9" s="130" t="s">
        <v>123</v>
      </c>
      <c r="Z9" s="131"/>
      <c r="AA9" s="144"/>
      <c r="AB9" s="148"/>
      <c r="AC9" s="149"/>
      <c r="AD9" s="147" t="s">
        <v>122</v>
      </c>
      <c r="AH9" s="156"/>
      <c r="AJ9" s="33"/>
      <c r="AK9" s="156"/>
      <c r="AL9" s="33"/>
      <c r="AO9" s="155" t="s">
        <v>172</v>
      </c>
      <c r="AP9" s="14">
        <v>0.06</v>
      </c>
      <c r="AU9" t="s">
        <v>60</v>
      </c>
      <c r="AV9" s="12">
        <v>0.016</v>
      </c>
      <c r="AW9" s="12">
        <v>0.008</v>
      </c>
      <c r="AX9" s="12">
        <v>0.004</v>
      </c>
      <c r="BC9" s="147">
        <f t="shared" si="0"/>
        <v>9480.30898138724</v>
      </c>
      <c r="BD9" s="157" t="s">
        <v>123</v>
      </c>
      <c r="BG9" s="147">
        <f t="shared" si="1"/>
        <v>9482.45252861864</v>
      </c>
      <c r="BH9" s="157" t="s">
        <v>123</v>
      </c>
    </row>
    <row r="10" ht="23" customHeight="1" spans="1:60">
      <c r="A10" s="37"/>
      <c r="B10" s="48" t="s">
        <v>50</v>
      </c>
      <c r="C10" s="46">
        <f>C5</f>
        <v>10</v>
      </c>
      <c r="D10" s="42">
        <f>C10*6/C9*D9</f>
        <v>0.011097153771053</v>
      </c>
      <c r="E10" s="47"/>
      <c r="F10" s="49" t="s">
        <v>50</v>
      </c>
      <c r="G10" s="50">
        <f>$C$5</f>
        <v>10</v>
      </c>
      <c r="H10" s="42">
        <f>G10*2/G9*H9</f>
        <v>0.00307162356181415</v>
      </c>
      <c r="I10" s="47"/>
      <c r="K10" s="99" t="s">
        <v>173</v>
      </c>
      <c r="L10" s="99"/>
      <c r="M10" s="99"/>
      <c r="N10" s="99"/>
      <c r="O10" s="99"/>
      <c r="P10" s="72" t="s">
        <v>157</v>
      </c>
      <c r="Q10" s="72" t="s">
        <v>158</v>
      </c>
      <c r="R10" s="72" t="s">
        <v>159</v>
      </c>
      <c r="S10" s="72" t="s">
        <v>65</v>
      </c>
      <c r="T10" s="72" t="s">
        <v>160</v>
      </c>
      <c r="U10" s="128">
        <f>U9+$E$7*6*10000*0.5</f>
        <v>9838.98294369538</v>
      </c>
      <c r="V10" s="128" t="s">
        <v>174</v>
      </c>
      <c r="W10" s="128">
        <f t="shared" si="2"/>
        <v>9841.12649092678</v>
      </c>
      <c r="X10" s="128" t="s">
        <v>174</v>
      </c>
      <c r="Y10" s="130" t="s">
        <v>126</v>
      </c>
      <c r="Z10" s="131"/>
      <c r="AA10" s="144"/>
      <c r="AB10" s="148"/>
      <c r="AC10" s="149"/>
      <c r="AD10" s="147" t="s">
        <v>125</v>
      </c>
      <c r="AF10" s="33" t="s">
        <v>175</v>
      </c>
      <c r="AG10" s="33">
        <v>510</v>
      </c>
      <c r="AH10" s="156"/>
      <c r="AJ10" s="33">
        <v>510</v>
      </c>
      <c r="AK10" s="156"/>
      <c r="AL10" s="33"/>
      <c r="AO10" s="155" t="s">
        <v>176</v>
      </c>
      <c r="AR10" s="14">
        <v>0.05</v>
      </c>
      <c r="AU10" t="s">
        <v>177</v>
      </c>
      <c r="AV10" s="12">
        <f>AV8+(AV9*5+AV9*2*5+AV9*3*5+AV9*4*5+AV9*5*($R$3-20))/$R$3</f>
        <v>0.113333333333333</v>
      </c>
      <c r="AW10" s="12">
        <f>AW8+(AW9*5+AW9*2*5+AW9*3*5+AW9*4*5+AW9*5*($R$3-20))/$R$3</f>
        <v>0.0606666666666667</v>
      </c>
      <c r="AX10" s="12">
        <f>AX8+(AX9*5+AX9*2*5+AX9*3*5+AX9*4*5+AX9*5*($R$3-20))/$R$3</f>
        <v>0.0303333333333333</v>
      </c>
      <c r="BC10" s="147">
        <f t="shared" si="0"/>
        <v>9838.98294369538</v>
      </c>
      <c r="BD10" s="157" t="s">
        <v>126</v>
      </c>
      <c r="BG10" s="147">
        <f t="shared" si="1"/>
        <v>9841.12649092678</v>
      </c>
      <c r="BH10" s="157" t="s">
        <v>126</v>
      </c>
    </row>
    <row r="11" ht="24" spans="1:42">
      <c r="A11" s="37"/>
      <c r="B11" s="49" t="s">
        <v>55</v>
      </c>
      <c r="C11" s="50">
        <v>10</v>
      </c>
      <c r="D11" s="42">
        <f>C11/C4*D4</f>
        <v>0.00472843137254902</v>
      </c>
      <c r="E11" s="47"/>
      <c r="F11" s="48" t="s">
        <v>56</v>
      </c>
      <c r="G11" s="46">
        <f>$C$6*2</f>
        <v>72</v>
      </c>
      <c r="H11" s="42">
        <f>G11/2/G9*H9</f>
        <v>0.00552892241126547</v>
      </c>
      <c r="I11" s="47"/>
      <c r="K11" s="100" t="s">
        <v>4</v>
      </c>
      <c r="L11" s="105">
        <f>SUM(P11:T11)</f>
        <v>8424</v>
      </c>
      <c r="M11" s="106"/>
      <c r="N11" s="105" t="str">
        <f>VLOOKUP(L11,$BG$4:$BH$10,2,TRUE)</f>
        <v>合格塔兵</v>
      </c>
      <c r="O11" s="106"/>
      <c r="P11" s="72">
        <f>ROUND(G26,0)</f>
        <v>3237</v>
      </c>
      <c r="Q11" s="72">
        <f>ROUND(SUM($D$16:$D$19),0)</f>
        <v>1777</v>
      </c>
      <c r="R11" s="72">
        <f>ROUND($Q$26,0)</f>
        <v>2634</v>
      </c>
      <c r="S11" s="129" t="s">
        <v>178</v>
      </c>
      <c r="T11" s="72">
        <f>$H$26</f>
        <v>776</v>
      </c>
      <c r="U11" s="130" t="s">
        <v>179</v>
      </c>
      <c r="V11" s="131"/>
      <c r="W11" s="131"/>
      <c r="X11" s="131"/>
      <c r="Y11" s="131"/>
      <c r="Z11" s="131"/>
      <c r="AA11" s="131"/>
      <c r="AB11" s="131"/>
      <c r="AC11" s="144"/>
      <c r="AD11"/>
      <c r="AF11" s="33" t="s">
        <v>180</v>
      </c>
      <c r="AG11" s="33">
        <f>ROUND(450*(1-J19-J21),0)</f>
        <v>434</v>
      </c>
      <c r="AH11" s="156"/>
      <c r="AJ11" s="33">
        <f>ROUND(450*(1-J32-J34),0)</f>
        <v>418</v>
      </c>
      <c r="AK11" s="156"/>
      <c r="AL11" s="33"/>
      <c r="AO11" s="155" t="s">
        <v>181</v>
      </c>
      <c r="AP11" s="14">
        <v>0.05</v>
      </c>
    </row>
    <row r="12" ht="24" spans="1:50">
      <c r="A12" s="37"/>
      <c r="B12" s="51" t="s">
        <v>58</v>
      </c>
      <c r="C12" s="52">
        <v>0.017</v>
      </c>
      <c r="D12" s="42">
        <f>C12/L39</f>
        <v>0.0163461538461539</v>
      </c>
      <c r="E12" s="55"/>
      <c r="F12" s="56" t="s">
        <v>59</v>
      </c>
      <c r="G12" s="57">
        <v>991</v>
      </c>
      <c r="H12" s="42">
        <f>1.37%*0.9</f>
        <v>0.01233</v>
      </c>
      <c r="I12" s="55"/>
      <c r="K12" s="100" t="s">
        <v>7</v>
      </c>
      <c r="L12" s="105">
        <f>SUM(P12:T12)</f>
        <v>7033</v>
      </c>
      <c r="M12" s="106"/>
      <c r="N12" s="105" t="str">
        <f>VLOOKUP(L12,$BG$4:$BH$10,2,TRUE)</f>
        <v>饮水机管理员</v>
      </c>
      <c r="O12" s="106"/>
      <c r="P12" s="107">
        <f>ROUND(G39,0)</f>
        <v>3547</v>
      </c>
      <c r="Q12" s="107">
        <f>ROUND(SUM($D$16:$D$19),0)</f>
        <v>1777</v>
      </c>
      <c r="R12" s="107">
        <f>ROUND($Q$40,0)</f>
        <v>1709</v>
      </c>
      <c r="S12" s="129" t="s">
        <v>178</v>
      </c>
      <c r="T12" s="107">
        <f>$H$39</f>
        <v>0</v>
      </c>
      <c r="U12" s="132" t="s">
        <v>182</v>
      </c>
      <c r="V12" s="133" t="s">
        <v>183</v>
      </c>
      <c r="W12" s="133" t="s">
        <v>184</v>
      </c>
      <c r="X12" s="134" t="s">
        <v>102</v>
      </c>
      <c r="Y12" s="134"/>
      <c r="Z12" s="134"/>
      <c r="AA12" s="150"/>
      <c r="AD12"/>
      <c r="AF12" s="33" t="s">
        <v>185</v>
      </c>
      <c r="AG12" s="33">
        <v>280</v>
      </c>
      <c r="AH12" s="156"/>
      <c r="AJ12" s="33">
        <v>280</v>
      </c>
      <c r="AK12" s="156"/>
      <c r="AL12" s="33"/>
      <c r="AO12" s="155" t="s">
        <v>186</v>
      </c>
      <c r="AP12" s="14">
        <v>0.02</v>
      </c>
      <c r="AV12" t="s">
        <v>29</v>
      </c>
      <c r="AW12" t="s">
        <v>187</v>
      </c>
      <c r="AX12" t="s">
        <v>188</v>
      </c>
    </row>
    <row r="13" ht="21" spans="1:55">
      <c r="A13" s="37"/>
      <c r="B13" s="58"/>
      <c r="C13" s="58"/>
      <c r="D13" s="58"/>
      <c r="E13" s="58"/>
      <c r="F13" s="59"/>
      <c r="G13" s="59"/>
      <c r="H13" s="60"/>
      <c r="I13" s="60"/>
      <c r="U13" s="135"/>
      <c r="V13" s="136">
        <f>1-W13</f>
        <v>0.65</v>
      </c>
      <c r="W13" s="136">
        <v>0.35</v>
      </c>
      <c r="X13" s="137"/>
      <c r="Y13" s="137"/>
      <c r="Z13" s="137"/>
      <c r="AA13" s="151"/>
      <c r="AD13"/>
      <c r="AF13" s="33" t="s">
        <v>189</v>
      </c>
      <c r="AG13" s="33">
        <v>470</v>
      </c>
      <c r="AH13" s="156"/>
      <c r="AJ13" s="33">
        <v>470</v>
      </c>
      <c r="AK13" s="156"/>
      <c r="AL13" s="33"/>
      <c r="AO13" s="155" t="s">
        <v>190</v>
      </c>
      <c r="AU13" t="s">
        <v>140</v>
      </c>
      <c r="AV13" s="14">
        <v>0.05</v>
      </c>
      <c r="AW13" s="12">
        <v>0.028</v>
      </c>
      <c r="AX13" s="12">
        <v>0.014</v>
      </c>
      <c r="BC13" t="s">
        <v>191</v>
      </c>
    </row>
    <row r="14" spans="1:56">
      <c r="A14" s="37"/>
      <c r="B14" s="58"/>
      <c r="C14" s="58"/>
      <c r="D14" s="58"/>
      <c r="E14" s="58"/>
      <c r="F14" s="58"/>
      <c r="G14" s="58"/>
      <c r="H14" s="58"/>
      <c r="I14" s="58"/>
      <c r="AF14" s="33" t="s">
        <v>85</v>
      </c>
      <c r="AG14" s="33">
        <v>500</v>
      </c>
      <c r="AH14" s="156"/>
      <c r="AJ14" s="33">
        <v>500</v>
      </c>
      <c r="AK14" s="156"/>
      <c r="AL14" s="33"/>
      <c r="AO14" s="155" t="s">
        <v>192</v>
      </c>
      <c r="AU14" t="s">
        <v>193</v>
      </c>
      <c r="AV14" s="14">
        <v>0.08</v>
      </c>
      <c r="AW14" s="12">
        <v>0.048</v>
      </c>
      <c r="AX14" s="12">
        <v>0.024</v>
      </c>
      <c r="BC14" t="s">
        <v>47</v>
      </c>
      <c r="BD14">
        <v>57</v>
      </c>
    </row>
    <row r="15" ht="33.75" spans="1:56">
      <c r="A15" s="37"/>
      <c r="B15" s="61" t="s">
        <v>194</v>
      </c>
      <c r="C15" s="61"/>
      <c r="D15" s="61" t="s">
        <v>67</v>
      </c>
      <c r="E15" s="62" t="s">
        <v>66</v>
      </c>
      <c r="F15" s="62"/>
      <c r="G15" s="62" t="s">
        <v>67</v>
      </c>
      <c r="H15" s="62"/>
      <c r="I15" s="108" t="s">
        <v>195</v>
      </c>
      <c r="J15" s="108"/>
      <c r="K15" s="108" t="s">
        <v>52</v>
      </c>
      <c r="L15" s="108"/>
      <c r="N15" s="109" t="s">
        <v>196</v>
      </c>
      <c r="O15" s="110"/>
      <c r="P15" s="110"/>
      <c r="Q15" s="110"/>
      <c r="R15" s="110"/>
      <c r="S15" s="110"/>
      <c r="T15" s="110"/>
      <c r="U15" s="110"/>
      <c r="AH15" s="156"/>
      <c r="AJ15" s="33"/>
      <c r="AK15" s="156"/>
      <c r="AL15" s="33"/>
      <c r="AO15" s="155" t="s">
        <v>197</v>
      </c>
      <c r="AU15" t="s">
        <v>198</v>
      </c>
      <c r="AV15" s="12" cm="1">
        <f t="array" ref="AV15">AV13+会伤(AV14,0)</f>
        <v>0.078352963584996</v>
      </c>
      <c r="AW15" s="12" cm="1">
        <f t="array" ref="AW15">AW13+会伤(AW14,0)</f>
        <v>0.0450117781509975</v>
      </c>
      <c r="AX15" s="12" cm="1">
        <f t="array" ref="AX15">AX13+会伤(AX14,0)</f>
        <v>0.0225058890754988</v>
      </c>
      <c r="BC15" t="s">
        <v>39</v>
      </c>
      <c r="BD15">
        <v>28</v>
      </c>
    </row>
    <row r="16" ht="22.5" spans="1:56">
      <c r="A16" s="37"/>
      <c r="B16" s="63" t="s">
        <v>28</v>
      </c>
      <c r="C16" s="64" t="s">
        <v>29</v>
      </c>
      <c r="D16" s="65" cm="1">
        <f t="array" ref="D16">ROUND(_xlfn.IFS(C16="1金",$AX$15,C16="2金",$AW$15,C16="3金",$AV$15,C16="无",)*10000,0)</f>
        <v>784</v>
      </c>
      <c r="E16" s="66" t="s">
        <v>199</v>
      </c>
      <c r="F16" s="67"/>
      <c r="G16" s="65" t="s">
        <v>67</v>
      </c>
      <c r="H16" s="65" t="s">
        <v>71</v>
      </c>
      <c r="I16" s="111" t="s">
        <v>188</v>
      </c>
      <c r="J16" s="112">
        <f>IF($C$16=I16,$AX$13,0)</f>
        <v>0</v>
      </c>
      <c r="K16" s="111" t="s">
        <v>168</v>
      </c>
      <c r="L16" s="112">
        <f>IF($C$17=K16,$AX$10,0)</f>
        <v>0</v>
      </c>
      <c r="N16" s="113" t="s">
        <v>200</v>
      </c>
      <c r="O16" s="113" t="s">
        <v>201</v>
      </c>
      <c r="P16" s="114" t="s">
        <v>18</v>
      </c>
      <c r="Q16" s="126" t="s">
        <v>19</v>
      </c>
      <c r="R16" s="113" t="s">
        <v>202</v>
      </c>
      <c r="S16" s="113" t="s">
        <v>201</v>
      </c>
      <c r="T16" s="114" t="s">
        <v>18</v>
      </c>
      <c r="U16" s="126" t="s">
        <v>19</v>
      </c>
      <c r="AF16" s="33" t="s">
        <v>203</v>
      </c>
      <c r="AG16" s="33">
        <f>ROUND(150*0.5+280*0.5+4%/(1+$R$4*5%+IF($C$55="有",$D$55,0))*10000,0)</f>
        <v>492</v>
      </c>
      <c r="AH16" s="156"/>
      <c r="AI16" s="156">
        <f>J22</f>
        <v>0</v>
      </c>
      <c r="AJ16" s="33">
        <f>ROUND(150*0.5+280*0.5+4%/(1+$R$4*5%+IF($C$55="有",$D$55,0))*10000,0)</f>
        <v>492</v>
      </c>
      <c r="AK16" s="156"/>
      <c r="AL16" s="156">
        <v>0.015</v>
      </c>
      <c r="AO16" s="155" t="s">
        <v>204</v>
      </c>
      <c r="AV16" t="s">
        <v>205</v>
      </c>
      <c r="AW16" t="s">
        <v>206</v>
      </c>
      <c r="AX16" t="s">
        <v>207</v>
      </c>
      <c r="AY16" t="s">
        <v>208</v>
      </c>
      <c r="BC16" t="s">
        <v>209</v>
      </c>
      <c r="BD16">
        <v>31</v>
      </c>
    </row>
    <row r="17" ht="22.5" spans="1:56">
      <c r="A17" s="37"/>
      <c r="B17" s="68" t="s">
        <v>34</v>
      </c>
      <c r="C17" s="69" t="s">
        <v>35</v>
      </c>
      <c r="D17" s="70" cm="1">
        <f t="array" ref="D17">ROUND(_xlfn.IFS(C17=K16,L16/($L$26-L16),C17=K17,L17/($L$26-L17),C17=K18,L18/($L$26-L18),C17="无",)*10000,0)</f>
        <v>993</v>
      </c>
      <c r="E17" s="71" t="s">
        <v>163</v>
      </c>
      <c r="F17" s="71" t="s">
        <v>210</v>
      </c>
      <c r="G17" s="70">
        <f>IFERROR(VLOOKUP(E17,$AF$4:$AJ$7,2,0),0)</f>
        <v>477</v>
      </c>
      <c r="H17" s="70">
        <f t="shared" ref="H17:H19" si="3">ROUND(IF(F17="普通",0,IF(E17="灼星贯日",G17*0.5,G17*0.45)),0)</f>
        <v>215</v>
      </c>
      <c r="I17" s="72" t="s">
        <v>187</v>
      </c>
      <c r="J17" s="115">
        <f>IF($C$16=I17,$AW$13,0)</f>
        <v>0</v>
      </c>
      <c r="K17" s="72" t="s">
        <v>167</v>
      </c>
      <c r="L17" s="115">
        <f>IF($C$17=K17,$AW$10,0)</f>
        <v>0</v>
      </c>
      <c r="N17" s="65" t="s">
        <v>24</v>
      </c>
      <c r="O17" s="71">
        <v>183</v>
      </c>
      <c r="P17" s="116">
        <f>O17/$C$4*$D$4</f>
        <v>0.0865302941176473</v>
      </c>
      <c r="Q17" s="138">
        <f t="shared" ref="Q17:Q26" si="4">P17*10000</f>
        <v>865.302941176473</v>
      </c>
      <c r="R17" s="65" t="s">
        <v>26</v>
      </c>
      <c r="S17" s="71">
        <v>29</v>
      </c>
      <c r="T17" s="116">
        <f>S17/$G$4*$H$4</f>
        <v>0.0267004843592331</v>
      </c>
      <c r="U17" s="138">
        <f t="shared" ref="U17:U26" si="5">T17*10000</f>
        <v>267.004843592331</v>
      </c>
      <c r="AF17" s="33" t="s">
        <v>211</v>
      </c>
      <c r="AG17" s="33">
        <v>450</v>
      </c>
      <c r="AH17" s="156"/>
      <c r="AI17" s="156">
        <f>J24</f>
        <v>0</v>
      </c>
      <c r="AJ17" s="33">
        <v>450</v>
      </c>
      <c r="AK17" s="156"/>
      <c r="AL17" s="156">
        <v>0.041</v>
      </c>
      <c r="AU17" t="s">
        <v>59</v>
      </c>
      <c r="AV17" s="12">
        <v>0.015</v>
      </c>
      <c r="AW17" s="14">
        <v>0.03</v>
      </c>
      <c r="AX17" s="14">
        <v>0.06</v>
      </c>
      <c r="AY17" t="s">
        <v>212</v>
      </c>
      <c r="BC17" t="s">
        <v>213</v>
      </c>
      <c r="BD17">
        <v>31</v>
      </c>
    </row>
    <row r="18" ht="22.5" spans="1:56">
      <c r="A18" s="37"/>
      <c r="B18" s="68" t="s">
        <v>214</v>
      </c>
      <c r="C18" s="69" t="s">
        <v>215</v>
      </c>
      <c r="D18" s="70" cm="1">
        <f t="array" ref="D18">ROUND(_xlfn.IFS(C18="1木",1/(1-7%)-1,C18="2木",1/(1-15%)*-1,C18="3木",1/(1-25%)-1,C18="无",)*10000*0.4*0.5,0)</f>
        <v>0</v>
      </c>
      <c r="E18" s="71" t="s">
        <v>75</v>
      </c>
      <c r="F18" s="71" t="s">
        <v>210</v>
      </c>
      <c r="G18" s="70">
        <f>IFERROR(VLOOKUP(E18,$AF$4:$AJ$7,2,0),0)</f>
        <v>695</v>
      </c>
      <c r="H18" s="70">
        <f t="shared" si="3"/>
        <v>313</v>
      </c>
      <c r="I18" s="72" t="s">
        <v>29</v>
      </c>
      <c r="J18" s="115">
        <f>IF($C$16=I18,$AV$13,0)</f>
        <v>0.05</v>
      </c>
      <c r="K18" s="72" t="s">
        <v>35</v>
      </c>
      <c r="L18" s="115">
        <f>IF($C$17=K18,$AV$10,0)</f>
        <v>0.113333333333333</v>
      </c>
      <c r="N18" s="70" t="s">
        <v>27</v>
      </c>
      <c r="O18" s="71">
        <v>14</v>
      </c>
      <c r="P18" s="117">
        <f>O18/$C$5*$D$5</f>
        <v>0.021852417471926</v>
      </c>
      <c r="Q18" s="138">
        <f t="shared" si="4"/>
        <v>218.52417471926</v>
      </c>
      <c r="R18" s="70" t="s">
        <v>31</v>
      </c>
      <c r="S18" s="71">
        <v>10</v>
      </c>
      <c r="T18" s="117">
        <f>S18/$G$5*$H$5</f>
        <v>0.0104166666666667</v>
      </c>
      <c r="U18" s="139">
        <f t="shared" si="5"/>
        <v>104.166666666667</v>
      </c>
      <c r="AF18" s="33" t="s">
        <v>216</v>
      </c>
      <c r="AG18" s="33">
        <f>ROUND(5.4%/(L26-L23)*10000,0)</f>
        <v>431</v>
      </c>
      <c r="AH18" s="156">
        <f>L23</f>
        <v>0</v>
      </c>
      <c r="AJ18" s="33">
        <f>ROUND(5.4%/(L39-L36)*10000,0)</f>
        <v>519</v>
      </c>
      <c r="AK18" s="156">
        <f>IFERROR(IF(VLOOKUP(AI18,#REF!,2,0)="普通",5.4%,7.2%),0)</f>
        <v>0</v>
      </c>
      <c r="AL18" s="33"/>
      <c r="AU18" t="s">
        <v>217</v>
      </c>
      <c r="AV18" s="12">
        <v>0.006</v>
      </c>
      <c r="AW18" s="12">
        <v>0.012</v>
      </c>
      <c r="AX18" s="14">
        <v>0.02</v>
      </c>
      <c r="AY18" t="s">
        <v>218</v>
      </c>
      <c r="BC18" t="s">
        <v>219</v>
      </c>
      <c r="BD18">
        <v>31</v>
      </c>
    </row>
    <row r="19" ht="22.5" spans="1:56">
      <c r="A19" s="37"/>
      <c r="B19" s="68" t="s">
        <v>220</v>
      </c>
      <c r="C19" s="69" t="s">
        <v>215</v>
      </c>
      <c r="D19" s="70" cm="1">
        <f t="array" ref="D19">ROUND(_xlfn.IFS(C19="1土",$AV$19,C19="2土",$AW$19,C19="3土",$AX$19,C19="无",)*10000/$V$13*$W$13,0)</f>
        <v>0</v>
      </c>
      <c r="E19" s="71" t="s">
        <v>76</v>
      </c>
      <c r="F19" s="71" t="s">
        <v>210</v>
      </c>
      <c r="G19" s="70">
        <f>IFERROR(VLOOKUP(E19,$AF$4:$AJ$7,2,0),0)</f>
        <v>550</v>
      </c>
      <c r="H19" s="70">
        <f t="shared" si="3"/>
        <v>248</v>
      </c>
      <c r="I19" s="72" t="s">
        <v>72</v>
      </c>
      <c r="J19" s="115">
        <f>IFERROR(IF(VLOOKUP("灼星贯日",$E$17:$F$19,2,0)="普通",3.6%,3.6%*1.5),0)</f>
        <v>0</v>
      </c>
      <c r="K19" s="72" t="s">
        <v>75</v>
      </c>
      <c r="L19" s="115">
        <f>IFERROR(IF(VLOOKUP(K19,$E$17:$F$24,2,0)="普通",4%,6%),0)</f>
        <v>0.06</v>
      </c>
      <c r="N19" s="70" t="s">
        <v>33</v>
      </c>
      <c r="O19" s="71">
        <v>213</v>
      </c>
      <c r="P19" s="117">
        <f>O19/$C$6*$D$6</f>
        <v>0.0503577941176471</v>
      </c>
      <c r="Q19" s="138">
        <f t="shared" si="4"/>
        <v>503.577941176471</v>
      </c>
      <c r="R19" s="70" t="s">
        <v>74</v>
      </c>
      <c r="S19" s="71">
        <v>94</v>
      </c>
      <c r="T19" s="117">
        <f>S19/$G$6*$H$6</f>
        <v>0.0178030303030303</v>
      </c>
      <c r="U19" s="139">
        <f t="shared" si="5"/>
        <v>178.030303030303</v>
      </c>
      <c r="AF19" s="33" t="s">
        <v>221</v>
      </c>
      <c r="AG19" s="33">
        <v>480</v>
      </c>
      <c r="AH19" s="156"/>
      <c r="AI19" s="156">
        <f>J23</f>
        <v>0</v>
      </c>
      <c r="AJ19" s="33">
        <v>480</v>
      </c>
      <c r="AK19" s="156"/>
      <c r="AL19" s="156">
        <v>0.027</v>
      </c>
      <c r="AU19" t="s">
        <v>184</v>
      </c>
      <c r="AV19" s="156">
        <f>AV17*0.9+AV18*4/(1+15%)</f>
        <v>0.0343695652173913</v>
      </c>
      <c r="AW19" s="156">
        <f>AW17*0.9+AW18*4/(1+15%)</f>
        <v>0.0687391304347826</v>
      </c>
      <c r="AX19" s="156">
        <f>AX17*0.9+AX18*4/(1+15%)</f>
        <v>0.123565217391304</v>
      </c>
      <c r="BC19" t="s">
        <v>222</v>
      </c>
      <c r="BD19">
        <v>62</v>
      </c>
    </row>
    <row r="20" ht="20.25" spans="1:56">
      <c r="A20" s="37"/>
      <c r="B20" s="72" t="s">
        <v>40</v>
      </c>
      <c r="C20" s="73">
        <v>0.1</v>
      </c>
      <c r="D20" s="74"/>
      <c r="E20" s="66" t="s">
        <v>223</v>
      </c>
      <c r="F20" s="67"/>
      <c r="G20" s="70" t="s">
        <v>178</v>
      </c>
      <c r="H20" s="70" t="s">
        <v>178</v>
      </c>
      <c r="I20" s="72" t="s">
        <v>76</v>
      </c>
      <c r="J20" s="115">
        <f>IFERROR(IF(VLOOKUP("绝电惊沙",$E$17:$F$19,2,0)="普通",5.2%,7.3%),0)</f>
        <v>0.073</v>
      </c>
      <c r="K20" s="72" t="s">
        <v>163</v>
      </c>
      <c r="L20" s="115">
        <f>IFERROR(IF(VLOOKUP(K20,$E$17:$F$24,2,0)="普通",5.6%,8.1%),0)</f>
        <v>0.081</v>
      </c>
      <c r="N20" s="70" t="s">
        <v>39</v>
      </c>
      <c r="O20" s="71">
        <v>56</v>
      </c>
      <c r="P20" s="117">
        <f>O20/$C$7*$D$7</f>
        <v>0.0212116306720178</v>
      </c>
      <c r="Q20" s="138">
        <f t="shared" si="4"/>
        <v>212.116306720178</v>
      </c>
      <c r="R20" s="70" t="s">
        <v>41</v>
      </c>
      <c r="S20" s="71">
        <v>26</v>
      </c>
      <c r="T20" s="117">
        <f>S20/$G$7*$H$7</f>
        <v>0.00984848484848485</v>
      </c>
      <c r="U20" s="139">
        <f t="shared" si="5"/>
        <v>98.4848484848485</v>
      </c>
      <c r="AH20" s="156"/>
      <c r="AJ20" s="33"/>
      <c r="AK20" s="156"/>
      <c r="AL20" s="33"/>
      <c r="BC20" t="s">
        <v>224</v>
      </c>
      <c r="BD20">
        <v>62</v>
      </c>
    </row>
    <row r="21" ht="20.25" spans="1:38">
      <c r="A21" s="37"/>
      <c r="B21" s="72" t="s">
        <v>44</v>
      </c>
      <c r="C21" s="73">
        <v>0.02</v>
      </c>
      <c r="D21" s="74"/>
      <c r="E21" s="71" t="s">
        <v>82</v>
      </c>
      <c r="F21" s="71" t="s">
        <v>73</v>
      </c>
      <c r="G21" s="70">
        <f>IFERROR(VLOOKUP(E21,$AF$10:$AJ$32,2,0),0)</f>
        <v>505</v>
      </c>
      <c r="H21" s="70">
        <f>ROUND(IF(F21="普通",0,IF(E21=$AF$27,150/($L$26-$L$21),G21*0.3)),0)</f>
        <v>0</v>
      </c>
      <c r="I21" s="72" t="s">
        <v>82</v>
      </c>
      <c r="J21" s="115">
        <f>IFERROR(IF(VLOOKUP("众妙",$E$21:$F$24,2,0)="普通",3.6%,3.6%*1.3),0)</f>
        <v>0.036</v>
      </c>
      <c r="K21" s="72" t="s">
        <v>89</v>
      </c>
      <c r="L21" s="115">
        <f>IFERROR(IF(VLOOKUP(K21,$E$21:$F$24,2,0)="普通",2%,3.5%),0)</f>
        <v>0</v>
      </c>
      <c r="N21" s="70" t="s">
        <v>43</v>
      </c>
      <c r="O21" s="118">
        <v>0.012</v>
      </c>
      <c r="P21" s="117">
        <f>O21/$C$8*$D$8</f>
        <v>0.011</v>
      </c>
      <c r="Q21" s="138">
        <f t="shared" si="4"/>
        <v>110</v>
      </c>
      <c r="R21" s="70" t="s">
        <v>45</v>
      </c>
      <c r="S21" s="118"/>
      <c r="T21" s="117">
        <f>S21/$G$8*$H$8</f>
        <v>0</v>
      </c>
      <c r="U21" s="139">
        <f t="shared" si="5"/>
        <v>0</v>
      </c>
      <c r="AH21" s="156"/>
      <c r="AJ21" s="33"/>
      <c r="AK21" s="156"/>
      <c r="AL21" s="33"/>
    </row>
    <row r="22" ht="20.25" spans="1:38">
      <c r="A22" s="37"/>
      <c r="B22" s="72" t="s">
        <v>225</v>
      </c>
      <c r="C22" s="73">
        <v>0.1</v>
      </c>
      <c r="D22" s="74"/>
      <c r="E22" s="71" t="s">
        <v>175</v>
      </c>
      <c r="F22" s="71" t="s">
        <v>73</v>
      </c>
      <c r="G22" s="70">
        <f>IFERROR(VLOOKUP(E22,$AF$10:$AJ$32,2,0),0)</f>
        <v>510</v>
      </c>
      <c r="H22" s="70">
        <f>ROUND(IF(F22="普通",0,IF(E22=$AF$27,150/($L$26-$L$21),G22*0.3)),0)</f>
        <v>0</v>
      </c>
      <c r="I22" s="72" t="s">
        <v>203</v>
      </c>
      <c r="J22" s="115">
        <f>IFERROR(IF(VLOOKUP("破重云",$E$21:$F$24,2,0)="普通",1.5%,1.8%),0)</f>
        <v>0</v>
      </c>
      <c r="K22" s="72" t="s">
        <v>226</v>
      </c>
      <c r="L22" s="115">
        <f>IFERROR(IF(VLOOKUP(K22,$E$21:$F$24,2,0)="普通",2.25%,1.8%),0)</f>
        <v>0</v>
      </c>
      <c r="N22" s="70" t="s">
        <v>47</v>
      </c>
      <c r="O22" s="71">
        <v>184</v>
      </c>
      <c r="P22" s="117">
        <f>O22/$C$9*$D$9</f>
        <v>0.0340312715645625</v>
      </c>
      <c r="Q22" s="138">
        <f t="shared" si="4"/>
        <v>340.312715645625</v>
      </c>
      <c r="R22" s="70" t="s">
        <v>49</v>
      </c>
      <c r="S22" s="71">
        <v>66</v>
      </c>
      <c r="T22" s="117">
        <f>S22/$G$9*$H$9</f>
        <v>0.0101363577539867</v>
      </c>
      <c r="U22" s="139">
        <f t="shared" si="5"/>
        <v>101.363577539867</v>
      </c>
      <c r="AF22" s="33" t="s">
        <v>82</v>
      </c>
      <c r="AG22" s="33">
        <f>ROUND(360+150*(1-J19-J21),0)</f>
        <v>505</v>
      </c>
      <c r="AH22" s="156"/>
      <c r="AI22" s="156">
        <f>J21</f>
        <v>0.036</v>
      </c>
      <c r="AJ22" s="33">
        <f>ROUND(360+150*(1-J32-J34),0)</f>
        <v>499</v>
      </c>
      <c r="AK22" s="156"/>
      <c r="AL22" s="156">
        <v>0.036</v>
      </c>
    </row>
    <row r="23" ht="20.25" spans="1:50">
      <c r="A23" s="37"/>
      <c r="B23" s="72" t="s">
        <v>51</v>
      </c>
      <c r="C23" s="73">
        <f>J26</f>
        <v>0.159</v>
      </c>
      <c r="D23" s="74"/>
      <c r="E23" s="71" t="s">
        <v>85</v>
      </c>
      <c r="F23" s="71" t="s">
        <v>73</v>
      </c>
      <c r="G23" s="70">
        <f>IFERROR(VLOOKUP(E23,$AF$10:$AJ$32,2,0),0)</f>
        <v>500</v>
      </c>
      <c r="H23" s="70">
        <f>ROUND(IF(F23="普通",0,IF(E23=$AF$27,150/($L$26-$L$21),G23*0.3)),0)</f>
        <v>0</v>
      </c>
      <c r="I23" s="72" t="s">
        <v>221</v>
      </c>
      <c r="J23" s="115">
        <f>IFERROR(IF(VLOOKUP(I23,$E$21:$F$24,2,0)="普通",2.7%,3.5%),0)</f>
        <v>0</v>
      </c>
      <c r="K23" s="72" t="s">
        <v>216</v>
      </c>
      <c r="L23" s="115">
        <f>IFERROR(IF(VLOOKUP(K23,$E$21:$F$24,2,0)="普通",2.7%,3.5%),0)</f>
        <v>0</v>
      </c>
      <c r="N23" s="70" t="s">
        <v>50</v>
      </c>
      <c r="O23" s="71">
        <v>18</v>
      </c>
      <c r="P23" s="117">
        <f>O23/$C$10*$D$10</f>
        <v>0.0199748767878954</v>
      </c>
      <c r="Q23" s="138">
        <f t="shared" si="4"/>
        <v>199.748767878954</v>
      </c>
      <c r="R23" s="70" t="s">
        <v>50</v>
      </c>
      <c r="S23" s="71">
        <f>O23</f>
        <v>18</v>
      </c>
      <c r="T23" s="117">
        <f>S23/$G$10*$H$10</f>
        <v>0.00552892241126547</v>
      </c>
      <c r="U23" s="139">
        <f t="shared" si="5"/>
        <v>55.2892241126547</v>
      </c>
      <c r="AF23" s="33" t="s">
        <v>227</v>
      </c>
      <c r="AG23" s="33">
        <f>ROUND(AG11*1.05,0)</f>
        <v>456</v>
      </c>
      <c r="AH23" s="156"/>
      <c r="AJ23" s="33">
        <f>ROUND(AJ11*1.05,0)</f>
        <v>439</v>
      </c>
      <c r="AK23" s="156"/>
      <c r="AL23" s="33"/>
      <c r="AX23" s="33" t="s">
        <v>207</v>
      </c>
    </row>
    <row r="24" ht="20.25" spans="1:50">
      <c r="A24" s="37"/>
      <c r="B24" s="75" t="s">
        <v>228</v>
      </c>
      <c r="C24" s="73">
        <f>13.8%</f>
        <v>0.138</v>
      </c>
      <c r="D24" s="74"/>
      <c r="E24" s="71"/>
      <c r="F24" s="71"/>
      <c r="G24" s="70">
        <f>IFERROR(VLOOKUP(E24,$AF$10:$AJ$32,2,0),0)</f>
        <v>0</v>
      </c>
      <c r="H24" s="70">
        <f>ROUND(IF(F24="普通",0,IF(E24=$AF$27,150/($L$26-$L$21),G24*0.3)),0)</f>
        <v>0</v>
      </c>
      <c r="I24" s="72" t="s">
        <v>211</v>
      </c>
      <c r="J24" s="115">
        <f>IFERROR(IF(VLOOKUP(I24,$E$21:$F$24,2,0)="普通",4.1%,5.2%),0)</f>
        <v>0</v>
      </c>
      <c r="K24" s="72" t="s">
        <v>85</v>
      </c>
      <c r="L24" s="115">
        <f>IFERROR(IF(VLOOKUP(K24,$E$21:$F$24,2,0)="普通",-2.5%,-3%),0)</f>
        <v>-0.025</v>
      </c>
      <c r="N24" s="70" t="s">
        <v>53</v>
      </c>
      <c r="O24" s="71">
        <v>39</v>
      </c>
      <c r="P24" s="117">
        <f>O24/$C$11*$D$11</f>
        <v>0.0184408823529412</v>
      </c>
      <c r="Q24" s="138">
        <f t="shared" si="4"/>
        <v>184.408823529412</v>
      </c>
      <c r="R24" s="70" t="s">
        <v>88</v>
      </c>
      <c r="S24" s="71">
        <v>345</v>
      </c>
      <c r="T24" s="117">
        <f>S24/$G$11*$H$11</f>
        <v>0.026492753220647</v>
      </c>
      <c r="U24" s="139">
        <f t="shared" si="5"/>
        <v>264.92753220647</v>
      </c>
      <c r="AF24" s="33" t="s">
        <v>90</v>
      </c>
      <c r="AG24" s="33">
        <v>530</v>
      </c>
      <c r="AH24" s="156"/>
      <c r="AJ24" s="33">
        <v>530</v>
      </c>
      <c r="AK24" s="156"/>
      <c r="AL24" s="33"/>
      <c r="AX24" s="33" t="s">
        <v>206</v>
      </c>
    </row>
    <row r="25" ht="20.25" spans="1:50">
      <c r="A25" s="37"/>
      <c r="C25" s="60"/>
      <c r="D25" s="60"/>
      <c r="E25" s="70" t="s">
        <v>229</v>
      </c>
      <c r="F25" s="70">
        <f>COUNTIF(F17:F24,"灵韵")</f>
        <v>3</v>
      </c>
      <c r="G25" s="70" t="s">
        <v>230</v>
      </c>
      <c r="H25" s="70" t="s">
        <v>231</v>
      </c>
      <c r="I25" s="72" t="s">
        <v>178</v>
      </c>
      <c r="J25" s="115" t="s">
        <v>178</v>
      </c>
      <c r="K25" s="72" t="s">
        <v>232</v>
      </c>
      <c r="L25" s="115">
        <f>IFERROR(IF(VLOOKUP(K25,$E$21:$F$24,2,0)="普通",-2.5%,-3%),0)</f>
        <v>0</v>
      </c>
      <c r="N25" s="70" t="s">
        <v>58</v>
      </c>
      <c r="O25" s="118">
        <v>0</v>
      </c>
      <c r="P25" s="117">
        <f>O25/$C$12*$D$12</f>
        <v>0</v>
      </c>
      <c r="Q25" s="138">
        <f t="shared" si="4"/>
        <v>0</v>
      </c>
      <c r="R25" s="70" t="s">
        <v>59</v>
      </c>
      <c r="S25" s="71">
        <v>12504</v>
      </c>
      <c r="T25" s="117">
        <f>IF(S25&gt;12505,(S25-12504)/$G$12*$H$12,0)</f>
        <v>0</v>
      </c>
      <c r="U25" s="139">
        <f t="shared" si="5"/>
        <v>0</v>
      </c>
      <c r="AF25" s="33" t="s">
        <v>233</v>
      </c>
      <c r="AG25" s="33">
        <v>100</v>
      </c>
      <c r="AH25" s="156"/>
      <c r="AJ25" s="33">
        <v>100</v>
      </c>
      <c r="AK25" s="156"/>
      <c r="AL25" s="33"/>
      <c r="AX25" s="33" t="s">
        <v>205</v>
      </c>
    </row>
    <row r="26" ht="20.25" spans="1:38">
      <c r="A26" s="37"/>
      <c r="G26" s="76">
        <f>SUM(G17:G24)</f>
        <v>3237</v>
      </c>
      <c r="H26" s="76">
        <f>SUM(H17:H24)</f>
        <v>776</v>
      </c>
      <c r="I26" s="72" t="s">
        <v>234</v>
      </c>
      <c r="J26" s="115">
        <f>SUM(J16:J24)/IF(SUM(J16:J24)&gt;20%,1.1,1)</f>
        <v>0.159</v>
      </c>
      <c r="K26" s="72" t="s">
        <v>63</v>
      </c>
      <c r="L26" s="115">
        <f>1+SUM(L16:L25)+2.5%</f>
        <v>1.25433333333333</v>
      </c>
      <c r="M26" t="s">
        <v>235</v>
      </c>
      <c r="N26" s="119" t="s">
        <v>236</v>
      </c>
      <c r="O26" s="119"/>
      <c r="P26" s="120">
        <f>SUM(P17:P25)</f>
        <v>0.263399167084637</v>
      </c>
      <c r="Q26" s="140">
        <f t="shared" si="4"/>
        <v>2633.99167084637</v>
      </c>
      <c r="R26" s="119" t="s">
        <v>237</v>
      </c>
      <c r="S26" s="119"/>
      <c r="T26" s="120">
        <f>SUM(T17:T25)/$V$13*$W$13</f>
        <v>0.0575759151494769</v>
      </c>
      <c r="U26" s="140">
        <f t="shared" si="5"/>
        <v>575.759151494769</v>
      </c>
      <c r="AH26" s="156"/>
      <c r="AI26" s="155" t="s">
        <v>184</v>
      </c>
      <c r="AJ26" s="33"/>
      <c r="AK26" s="156"/>
      <c r="AL26" s="155" t="s">
        <v>184</v>
      </c>
    </row>
    <row r="27" spans="1:38">
      <c r="A27" s="37"/>
      <c r="AF27" s="33" t="s">
        <v>89</v>
      </c>
      <c r="AG27" s="33" cm="1">
        <f t="array" ref="AG27">ROUND(2%/(L26-L21)*10000,0)+IFERROR(_xlfn.IFS(C16="1金",D16,C17="1火",D17,C18="1木",D18,C19="1土",D19),0)</f>
        <v>159</v>
      </c>
      <c r="AH27" s="156">
        <f>L21</f>
        <v>0</v>
      </c>
      <c r="AJ27" s="33" cm="1">
        <f t="array" ref="AJ27">ROUND(2%/(L39-L34)*10000,0)+IFERROR(_xlfn.IFS(C29="1金",D29,C30="1火",D30,C31="1木",D31,C32="1土",D32),0)</f>
        <v>192</v>
      </c>
      <c r="AK27" s="156">
        <f>IFERROR(IF(VLOOKUP(AI27,#REF!,2,0)="普通",2%,3.5%),0)</f>
        <v>0</v>
      </c>
      <c r="AL27" s="33"/>
    </row>
    <row r="28" ht="29.25" spans="1:38">
      <c r="A28" s="37"/>
      <c r="B28" s="61" t="s">
        <v>238</v>
      </c>
      <c r="C28" s="61"/>
      <c r="D28" s="61" t="s">
        <v>67</v>
      </c>
      <c r="E28" s="62" t="s">
        <v>66</v>
      </c>
      <c r="F28" s="62"/>
      <c r="G28" s="62" t="s">
        <v>67</v>
      </c>
      <c r="H28" s="62"/>
      <c r="I28" s="108" t="s">
        <v>195</v>
      </c>
      <c r="J28" s="108"/>
      <c r="K28" s="108" t="s">
        <v>52</v>
      </c>
      <c r="L28" s="108"/>
      <c r="N28" s="109" t="s">
        <v>239</v>
      </c>
      <c r="O28" s="110"/>
      <c r="P28" s="110"/>
      <c r="Q28" s="110"/>
      <c r="R28" s="110"/>
      <c r="S28" s="110"/>
      <c r="T28" s="110"/>
      <c r="U28" s="110"/>
      <c r="AF28" s="33" t="s">
        <v>226</v>
      </c>
      <c r="AG28" s="33">
        <f>ROUND((2.25%/(L26-L22)+AI28/$V$13*$W$13)*10000,0)</f>
        <v>395</v>
      </c>
      <c r="AH28" s="156">
        <f>L22</f>
        <v>0</v>
      </c>
      <c r="AI28" s="156">
        <v>0.04</v>
      </c>
      <c r="AJ28" s="33">
        <f>ROUND((2.25%/(L39-L35)+AL28/$V$13*$W$13)*10000,0)</f>
        <v>432</v>
      </c>
      <c r="AK28" s="156">
        <f>IFERROR(IF(VLOOKUP(AI28,#REF!,2,0)="普通",2.25%,3%),0)</f>
        <v>0</v>
      </c>
      <c r="AL28" s="156">
        <v>0.04</v>
      </c>
    </row>
    <row r="29" ht="22.5" spans="1:38">
      <c r="A29" s="37"/>
      <c r="B29" s="63" t="s">
        <v>28</v>
      </c>
      <c r="C29" s="64" t="s">
        <v>29</v>
      </c>
      <c r="D29" s="65" cm="1">
        <f t="array" ref="D29">ROUND(_xlfn.IFS(C29="1金",$AX$15,C29="2金",$AW$15,C29="3金",$AV$15,C29="无",)*10000,0)</f>
        <v>784</v>
      </c>
      <c r="E29" s="66" t="s">
        <v>199</v>
      </c>
      <c r="F29" s="67"/>
      <c r="G29" s="65" t="s">
        <v>67</v>
      </c>
      <c r="H29" s="65" t="s">
        <v>71</v>
      </c>
      <c r="I29" s="111" t="s">
        <v>188</v>
      </c>
      <c r="J29" s="112">
        <f>IF($C$29="1金",1.4%,0)</f>
        <v>0</v>
      </c>
      <c r="K29" s="111" t="s">
        <v>168</v>
      </c>
      <c r="L29" s="115">
        <f>IF($C$30=K29,$AX$10,0)</f>
        <v>0</v>
      </c>
      <c r="N29" s="121"/>
      <c r="O29" s="122"/>
      <c r="P29" s="122"/>
      <c r="Q29" s="122"/>
      <c r="R29" s="122"/>
      <c r="S29" s="122"/>
      <c r="T29" s="122"/>
      <c r="U29" s="122"/>
      <c r="AF29" s="33" t="s">
        <v>232</v>
      </c>
      <c r="AG29" s="33">
        <f>ROUND((-2.5%/((L26-L25))+AI29/$V$13*$W$13)*10000,0)</f>
        <v>82</v>
      </c>
      <c r="AH29" s="156">
        <f>L25</f>
        <v>0</v>
      </c>
      <c r="AI29" s="156">
        <f>6%/(1+15%)</f>
        <v>0.0521739130434783</v>
      </c>
      <c r="AJ29" s="33">
        <f>ROUND((-2.5%/(L39-L38)+AL29/$V$13*$W$13)*10000,0)</f>
        <v>41</v>
      </c>
      <c r="AK29" s="156">
        <f>IFERROR(IF(VLOOKUP(AI29,#REF!,2,0)="普通",-2.5%,-3%),0)</f>
        <v>0</v>
      </c>
      <c r="AL29" s="156">
        <f>6%/(1+15%)</f>
        <v>0.0521739130434783</v>
      </c>
    </row>
    <row r="30" ht="22.5" spans="1:38">
      <c r="A30" s="37"/>
      <c r="B30" s="68" t="s">
        <v>34</v>
      </c>
      <c r="C30" s="69" t="s">
        <v>215</v>
      </c>
      <c r="D30" s="70" cm="1">
        <f t="array" ref="D30">ROUND(_xlfn.IFS(C30=K29,L29/($L$39-L29),C30=K30,L30/($L$39-L30),C30=K31,L31/($L$39-L31),C30="无",)*10000,0)</f>
        <v>0</v>
      </c>
      <c r="E30" s="71" t="s">
        <v>72</v>
      </c>
      <c r="F30" s="71" t="s">
        <v>73</v>
      </c>
      <c r="G30" s="70">
        <f>IFERROR(VLOOKUP(E30,$AF$4:$AJ$7,5,0),0)</f>
        <v>708</v>
      </c>
      <c r="H30" s="70">
        <f t="shared" ref="H30:H32" si="6">ROUND(IF(F30="普通",0,IF(E30="灼星贯日",G30*0.5,G30*0.45)),0)</f>
        <v>0</v>
      </c>
      <c r="I30" s="72" t="s">
        <v>187</v>
      </c>
      <c r="J30" s="115">
        <f>IF($C$29="2金",2.8%,0)</f>
        <v>0</v>
      </c>
      <c r="K30" s="72" t="s">
        <v>167</v>
      </c>
      <c r="L30" s="115">
        <f>IF($C$30=K30,$AW$10,0)</f>
        <v>0</v>
      </c>
      <c r="N30" s="113" t="s">
        <v>200</v>
      </c>
      <c r="O30" s="113" t="s">
        <v>201</v>
      </c>
      <c r="P30" s="114" t="s">
        <v>18</v>
      </c>
      <c r="Q30" s="126" t="s">
        <v>19</v>
      </c>
      <c r="R30" s="113" t="s">
        <v>202</v>
      </c>
      <c r="S30" s="113" t="s">
        <v>201</v>
      </c>
      <c r="T30" s="114" t="s">
        <v>18</v>
      </c>
      <c r="U30" s="126" t="s">
        <v>19</v>
      </c>
      <c r="AF30" s="33" t="s">
        <v>240</v>
      </c>
      <c r="AG30" s="33">
        <f t="shared" ref="AG30:AG32" si="7">ROUND((AI30/$V$13*$W$13)*10000,0)</f>
        <v>242</v>
      </c>
      <c r="AH30" s="156"/>
      <c r="AI30" s="156">
        <v>0.045</v>
      </c>
      <c r="AJ30" s="33">
        <f t="shared" ref="AJ30:AJ32" si="8">ROUND((AL30/$V$13*$W$13)*10000,0)</f>
        <v>242</v>
      </c>
      <c r="AK30" s="156"/>
      <c r="AL30" s="156">
        <v>0.045</v>
      </c>
    </row>
    <row r="31" ht="22.5" spans="1:38">
      <c r="A31" s="37"/>
      <c r="B31" s="68" t="s">
        <v>214</v>
      </c>
      <c r="C31" s="69" t="s">
        <v>215</v>
      </c>
      <c r="D31" s="70" cm="1">
        <f t="array" ref="D31">ROUND(_xlfn.IFS(C31="1木",1/(1-7%)-1,C31="2木",1/(1-15%)*-1,C31="3木",1/(1-25%)-1,C31="无",)*10000*0.4*0.5,0)</f>
        <v>0</v>
      </c>
      <c r="E31" s="71" t="s">
        <v>75</v>
      </c>
      <c r="F31" s="71" t="s">
        <v>73</v>
      </c>
      <c r="G31" s="70">
        <f>IFERROR(VLOOKUP(E31,$AF$4:$AJ$7,5,0),0)</f>
        <v>760</v>
      </c>
      <c r="H31" s="70">
        <f t="shared" si="6"/>
        <v>0</v>
      </c>
      <c r="I31" s="72" t="s">
        <v>29</v>
      </c>
      <c r="J31" s="115">
        <f>IF($C$29="3金",5%,0)</f>
        <v>0.05</v>
      </c>
      <c r="K31" s="72" t="s">
        <v>35</v>
      </c>
      <c r="L31" s="115">
        <f>IF($C$30=K31,$AV$10,0)</f>
        <v>0</v>
      </c>
      <c r="N31" s="65" t="s">
        <v>24</v>
      </c>
      <c r="O31" s="71"/>
      <c r="P31" s="116">
        <f>O31/$C$4*$D$4</f>
        <v>0</v>
      </c>
      <c r="Q31" s="138">
        <f t="shared" ref="Q31:Q40" si="9">P31*10000</f>
        <v>0</v>
      </c>
      <c r="R31" s="65" t="s">
        <v>26</v>
      </c>
      <c r="S31" s="71"/>
      <c r="T31" s="116">
        <f>S31/$G$4*$H$4</f>
        <v>0</v>
      </c>
      <c r="U31" s="138">
        <f t="shared" ref="U31:U40" si="10">T31*10000</f>
        <v>0</v>
      </c>
      <c r="AF31" s="33" t="s">
        <v>241</v>
      </c>
      <c r="AG31" s="33">
        <f t="shared" si="7"/>
        <v>150</v>
      </c>
      <c r="AH31" s="156"/>
      <c r="AI31" s="156">
        <f>3%/(1+8%)</f>
        <v>0.0277777777777778</v>
      </c>
      <c r="AJ31" s="33">
        <f t="shared" si="8"/>
        <v>150</v>
      </c>
      <c r="AK31" s="156"/>
      <c r="AL31" s="156">
        <f>3%/(1+8%)</f>
        <v>0.0277777777777778</v>
      </c>
    </row>
    <row r="32" ht="22.5" spans="1:38">
      <c r="A32" s="37"/>
      <c r="B32" s="68" t="s">
        <v>220</v>
      </c>
      <c r="C32" s="69" t="s">
        <v>215</v>
      </c>
      <c r="D32" s="70" cm="1">
        <f t="array" ref="D32">ROUND(_xlfn.IFS(C32="1土",$AV$19,C32="2土",$AW$19,C32="3土",$AX$19,C32="无",)*10000/$V$13*$W$13,0)</f>
        <v>0</v>
      </c>
      <c r="E32" s="71" t="s">
        <v>76</v>
      </c>
      <c r="F32" s="71" t="s">
        <v>73</v>
      </c>
      <c r="G32" s="70">
        <f>IFERROR(VLOOKUP(E32,$AF$4:$AJ$7,5,0),0)</f>
        <v>550</v>
      </c>
      <c r="H32" s="70">
        <f t="shared" si="6"/>
        <v>0</v>
      </c>
      <c r="I32" s="72" t="s">
        <v>72</v>
      </c>
      <c r="J32" s="115">
        <f>IFERROR(IF(VLOOKUP("灼星贯日",$E$30:$F$37,2,0)="普通",3.6%,3.6%*1.5),0)</f>
        <v>0.036</v>
      </c>
      <c r="K32" s="72" t="s">
        <v>75</v>
      </c>
      <c r="L32" s="115">
        <f>IFERROR(IF(VLOOKUP(K32,$E$30:$F$32,2,0)="普通",4%,6%),0)</f>
        <v>0.04</v>
      </c>
      <c r="N32" s="70" t="s">
        <v>27</v>
      </c>
      <c r="O32" s="71"/>
      <c r="P32" s="117">
        <f>O32/$C$5*$D$5</f>
        <v>0</v>
      </c>
      <c r="Q32" s="138">
        <f t="shared" si="9"/>
        <v>0</v>
      </c>
      <c r="R32" s="70" t="s">
        <v>31</v>
      </c>
      <c r="S32" s="71"/>
      <c r="T32" s="117">
        <f>S32/$G$5*$H$5</f>
        <v>0</v>
      </c>
      <c r="U32" s="139">
        <f t="shared" si="10"/>
        <v>0</v>
      </c>
      <c r="AF32" s="33" t="s">
        <v>242</v>
      </c>
      <c r="AG32" s="33">
        <f t="shared" si="7"/>
        <v>242</v>
      </c>
      <c r="AH32" s="156"/>
      <c r="AI32" s="156">
        <v>0.045</v>
      </c>
      <c r="AJ32" s="33">
        <f t="shared" si="8"/>
        <v>242</v>
      </c>
      <c r="AK32" s="156"/>
      <c r="AL32" s="156">
        <v>0.045</v>
      </c>
    </row>
    <row r="33" ht="20.25" spans="1:21">
      <c r="A33" s="37"/>
      <c r="B33" s="72" t="s">
        <v>40</v>
      </c>
      <c r="C33" s="73">
        <v>0.1</v>
      </c>
      <c r="D33" s="74"/>
      <c r="E33" s="66" t="s">
        <v>223</v>
      </c>
      <c r="F33" s="67"/>
      <c r="G33" s="70" t="s">
        <v>178</v>
      </c>
      <c r="H33" s="70" t="s">
        <v>178</v>
      </c>
      <c r="I33" s="72" t="s">
        <v>76</v>
      </c>
      <c r="J33" s="115">
        <f>IFERROR(IF(VLOOKUP("绝电惊沙",$E$30:$F$37,2,0)="普通",5.2%,7.3%),0)</f>
        <v>0.052</v>
      </c>
      <c r="K33" s="72" t="s">
        <v>163</v>
      </c>
      <c r="L33" s="115">
        <f>IFERROR(IF(VLOOKUP(K33,$E$30:$F$32,2,0)="普通",5.6%,8.1%),0)</f>
        <v>0</v>
      </c>
      <c r="N33" s="70" t="s">
        <v>33</v>
      </c>
      <c r="O33" s="71">
        <f>31*6</f>
        <v>186</v>
      </c>
      <c r="P33" s="117">
        <f>O33/$C$6*$D$6</f>
        <v>0.0439744117647059</v>
      </c>
      <c r="Q33" s="138">
        <f t="shared" si="9"/>
        <v>439.744117647059</v>
      </c>
      <c r="R33" s="70" t="s">
        <v>74</v>
      </c>
      <c r="S33" s="71">
        <f>31*2*6</f>
        <v>372</v>
      </c>
      <c r="T33" s="117">
        <f>S33/$G$6*$H$6</f>
        <v>0.0704545454545455</v>
      </c>
      <c r="U33" s="139">
        <f t="shared" si="10"/>
        <v>704.545454545455</v>
      </c>
    </row>
    <row r="34" ht="20.25" spans="1:21">
      <c r="A34" s="37"/>
      <c r="B34" s="72" t="s">
        <v>44</v>
      </c>
      <c r="C34" s="73">
        <v>0.02</v>
      </c>
      <c r="D34" s="74"/>
      <c r="E34" s="71" t="s">
        <v>82</v>
      </c>
      <c r="F34" s="71" t="s">
        <v>73</v>
      </c>
      <c r="G34" s="70">
        <f>IFERROR(VLOOKUP(E34,$AF$10:$AJ$32,5,0),0)</f>
        <v>499</v>
      </c>
      <c r="H34" s="70">
        <f t="shared" ref="H34:H37" si="11">ROUND(IF(F34="普通",0,IF(E34=$AF$27,150/($L$26-$L$21),G34*0.3)),0)</f>
        <v>0</v>
      </c>
      <c r="I34" s="72" t="s">
        <v>82</v>
      </c>
      <c r="J34" s="115">
        <f>IFERROR(IF(VLOOKUP("众妙",$E$30:$F$37,2,0)="普通",3.6%,3.6%*1.3),0)</f>
        <v>0.036</v>
      </c>
      <c r="K34" s="72" t="s">
        <v>89</v>
      </c>
      <c r="L34" s="115">
        <f>IFERROR(IF(VLOOKUP(K34,$E$34:$F$37,2,0)="普通",2%,3.5%),0)</f>
        <v>0</v>
      </c>
      <c r="N34" s="70" t="s">
        <v>39</v>
      </c>
      <c r="O34" s="71">
        <f>28*6</f>
        <v>168</v>
      </c>
      <c r="P34" s="117">
        <f>O34/$C$7*$D$7</f>
        <v>0.0636348920160537</v>
      </c>
      <c r="Q34" s="138">
        <f t="shared" si="9"/>
        <v>636.348920160537</v>
      </c>
      <c r="R34" s="70" t="s">
        <v>41</v>
      </c>
      <c r="S34" s="71"/>
      <c r="T34" s="117">
        <f>S34/$G$7*$H$7</f>
        <v>0</v>
      </c>
      <c r="U34" s="139">
        <f t="shared" si="10"/>
        <v>0</v>
      </c>
    </row>
    <row r="35" ht="20.25" spans="1:21">
      <c r="A35" s="37"/>
      <c r="B35" s="72" t="s">
        <v>225</v>
      </c>
      <c r="C35" s="73">
        <v>0.1</v>
      </c>
      <c r="D35" s="74"/>
      <c r="E35" s="71" t="s">
        <v>90</v>
      </c>
      <c r="F35" s="71" t="s">
        <v>73</v>
      </c>
      <c r="G35" s="70">
        <f>IFERROR(VLOOKUP(E35,$AF$10:$AJ$32,5,0),0)</f>
        <v>530</v>
      </c>
      <c r="H35" s="70">
        <f t="shared" si="11"/>
        <v>0</v>
      </c>
      <c r="I35" s="72" t="s">
        <v>203</v>
      </c>
      <c r="J35" s="115">
        <f>IFERROR(IF(VLOOKUP("破重云",$E$30:$F$37,2,0)="普通",1.5%,1.8%),0)</f>
        <v>0</v>
      </c>
      <c r="K35" s="72" t="s">
        <v>226</v>
      </c>
      <c r="L35" s="115">
        <f>IFERROR(IF(VLOOKUP(K35,$E$34:$F$37,2,0)="普通",2.25%,1.8%),0)</f>
        <v>0</v>
      </c>
      <c r="N35" s="70" t="s">
        <v>43</v>
      </c>
      <c r="O35" s="118"/>
      <c r="P35" s="117">
        <f>O35/$C$8*$D$8</f>
        <v>0</v>
      </c>
      <c r="Q35" s="138">
        <f t="shared" si="9"/>
        <v>0</v>
      </c>
      <c r="R35" s="70" t="s">
        <v>45</v>
      </c>
      <c r="S35" s="118"/>
      <c r="T35" s="117">
        <f>S35/$G$8*$H$8</f>
        <v>0</v>
      </c>
      <c r="U35" s="139">
        <f t="shared" si="10"/>
        <v>0</v>
      </c>
    </row>
    <row r="36" ht="20.25" spans="1:21">
      <c r="A36" s="37"/>
      <c r="B36" s="72" t="s">
        <v>51</v>
      </c>
      <c r="C36" s="73">
        <f>J39</f>
        <v>0.174</v>
      </c>
      <c r="D36" s="74"/>
      <c r="E36" s="71" t="s">
        <v>85</v>
      </c>
      <c r="F36" s="71" t="s">
        <v>73</v>
      </c>
      <c r="G36" s="70">
        <f>IFERROR(VLOOKUP(E36,$AF$10:$AJ$32,5,0),0)</f>
        <v>500</v>
      </c>
      <c r="H36" s="70">
        <f t="shared" si="11"/>
        <v>0</v>
      </c>
      <c r="I36" s="72" t="s">
        <v>221</v>
      </c>
      <c r="J36" s="115">
        <f>IFERROR(IF(VLOOKUP(I36,$E$30:$F$37,2,0)="普通",2.7%,3.5%),0)</f>
        <v>0</v>
      </c>
      <c r="K36" s="72" t="s">
        <v>216</v>
      </c>
      <c r="L36" s="115">
        <f>IFERROR(IF(VLOOKUP(K36,$E$34:$F$37,2,0)="普通",2.7%,3.5%),0)</f>
        <v>0</v>
      </c>
      <c r="N36" s="70" t="s">
        <v>47</v>
      </c>
      <c r="O36" s="71">
        <f>57*6</f>
        <v>342</v>
      </c>
      <c r="P36" s="117">
        <f>O36/$C$9*$D$9</f>
        <v>0.063253776495002</v>
      </c>
      <c r="Q36" s="138">
        <f t="shared" si="9"/>
        <v>632.53776495002</v>
      </c>
      <c r="R36" s="70" t="s">
        <v>49</v>
      </c>
      <c r="S36" s="71"/>
      <c r="T36" s="117">
        <f>S36/$G$9*$H$9</f>
        <v>0</v>
      </c>
      <c r="U36" s="139">
        <f t="shared" si="10"/>
        <v>0</v>
      </c>
    </row>
    <row r="37" ht="20.25" spans="1:21">
      <c r="A37" s="37"/>
      <c r="B37" s="75" t="s">
        <v>228</v>
      </c>
      <c r="C37" s="73">
        <v>0.138</v>
      </c>
      <c r="D37" s="74"/>
      <c r="E37" s="71"/>
      <c r="F37" s="71"/>
      <c r="G37" s="70">
        <f>IFERROR(VLOOKUP(E37,$AF$10:$AJ$32,5,0),0)</f>
        <v>0</v>
      </c>
      <c r="H37" s="70">
        <f t="shared" si="11"/>
        <v>0</v>
      </c>
      <c r="I37" s="72" t="s">
        <v>211</v>
      </c>
      <c r="J37" s="115">
        <f>IFERROR(IF(VLOOKUP(I37,$E$30:$F$37,2,0)="普通",4.1%,5.2%),0)</f>
        <v>0</v>
      </c>
      <c r="K37" s="72" t="s">
        <v>85</v>
      </c>
      <c r="L37" s="115">
        <f>IFERROR(IF(VLOOKUP(K37,$E$34:$F$37,2,0)="普通",-2.5%,-3%),0)</f>
        <v>-0.025</v>
      </c>
      <c r="N37" s="70" t="s">
        <v>50</v>
      </c>
      <c r="O37" s="71"/>
      <c r="P37" s="117">
        <f>O37/$C$10*$D$10</f>
        <v>0</v>
      </c>
      <c r="Q37" s="138">
        <f t="shared" si="9"/>
        <v>0</v>
      </c>
      <c r="R37" s="70" t="s">
        <v>50</v>
      </c>
      <c r="S37" s="71">
        <f>O37</f>
        <v>0</v>
      </c>
      <c r="T37" s="117">
        <f>S37/$G$10*$H$10</f>
        <v>0</v>
      </c>
      <c r="U37" s="139">
        <f t="shared" si="10"/>
        <v>0</v>
      </c>
    </row>
    <row r="38" ht="20.25" spans="1:21">
      <c r="A38" s="37"/>
      <c r="E38" s="70" t="s">
        <v>229</v>
      </c>
      <c r="F38" s="70">
        <f>COUNTIF(F30:F37,"灵韵")</f>
        <v>0</v>
      </c>
      <c r="G38" s="70" t="s">
        <v>230</v>
      </c>
      <c r="H38" s="70" t="s">
        <v>231</v>
      </c>
      <c r="I38" s="72" t="s">
        <v>178</v>
      </c>
      <c r="J38" s="72" t="s">
        <v>178</v>
      </c>
      <c r="K38" s="72" t="s">
        <v>232</v>
      </c>
      <c r="L38" s="115">
        <f>IFERROR(IF(VLOOKUP(K38,$E$34:$F$37,2,0)="普通",-2.5%,-3%),0)</f>
        <v>0</v>
      </c>
      <c r="N38" s="70" t="s">
        <v>53</v>
      </c>
      <c r="O38" s="71">
        <f>S31+S32</f>
        <v>0</v>
      </c>
      <c r="P38" s="117">
        <f>O38/$C$11*$D$11</f>
        <v>0</v>
      </c>
      <c r="Q38" s="138">
        <f t="shared" si="9"/>
        <v>0</v>
      </c>
      <c r="R38" s="70" t="s">
        <v>88</v>
      </c>
      <c r="S38" s="71">
        <f>62*2*6</f>
        <v>744</v>
      </c>
      <c r="T38" s="117">
        <f>S38/$G$11*$H$11</f>
        <v>0.0571321982497432</v>
      </c>
      <c r="U38" s="139">
        <f t="shared" si="10"/>
        <v>571.321982497432</v>
      </c>
    </row>
    <row r="39" ht="20.25" spans="1:21">
      <c r="A39" s="37"/>
      <c r="G39" s="76">
        <f>SUM(G30:G37)</f>
        <v>3547</v>
      </c>
      <c r="H39" s="76">
        <f>SUM(H30:H37)</f>
        <v>0</v>
      </c>
      <c r="I39" s="72" t="s">
        <v>234</v>
      </c>
      <c r="J39" s="115">
        <f>SUM(J29:J37)/IF(SUM(J29:J37)&gt;20%,1.1,1)</f>
        <v>0.174</v>
      </c>
      <c r="K39" s="72" t="s">
        <v>63</v>
      </c>
      <c r="L39" s="115">
        <f>1+SUM(L29:L38)+2.5%</f>
        <v>1.04</v>
      </c>
      <c r="M39" t="s">
        <v>235</v>
      </c>
      <c r="N39" s="70" t="s">
        <v>58</v>
      </c>
      <c r="O39" s="118"/>
      <c r="P39" s="117">
        <f>O39/$C$12*$D$12</f>
        <v>0</v>
      </c>
      <c r="Q39" s="138">
        <f t="shared" si="9"/>
        <v>0</v>
      </c>
      <c r="R39" s="70" t="s">
        <v>59</v>
      </c>
      <c r="S39" s="71"/>
      <c r="T39" s="117">
        <f>IF(S39&gt;12505,(S39-12504)/$G$12*$H$12,0)</f>
        <v>0</v>
      </c>
      <c r="U39" s="139">
        <f t="shared" si="10"/>
        <v>0</v>
      </c>
    </row>
    <row r="40" ht="20.25" spans="1:21">
      <c r="A40" s="37"/>
      <c r="N40" s="119" t="s">
        <v>236</v>
      </c>
      <c r="O40" s="119"/>
      <c r="P40" s="120">
        <f>SUM(P31:P39)</f>
        <v>0.170863080275762</v>
      </c>
      <c r="Q40" s="140">
        <f t="shared" si="9"/>
        <v>1708.63080275762</v>
      </c>
      <c r="R40" s="119" t="s">
        <v>237</v>
      </c>
      <c r="S40" s="119"/>
      <c r="T40" s="120">
        <f>SUM(T17:T25)/$V$13*$W$13</f>
        <v>0.0575759151494769</v>
      </c>
      <c r="U40" s="140">
        <f t="shared" si="10"/>
        <v>575.759151494769</v>
      </c>
    </row>
    <row r="41" ht="25.5" spans="1:20">
      <c r="A41" s="37"/>
      <c r="B41" s="77" t="s">
        <v>243</v>
      </c>
      <c r="C41" s="77"/>
      <c r="D41" s="77"/>
      <c r="E41" s="77"/>
      <c r="F41" s="77"/>
      <c r="G41" s="77"/>
      <c r="P41">
        <f>P40/6/E7</f>
        <v>2.38187181439406</v>
      </c>
      <c r="T41">
        <f>T40/6/E7</f>
        <v>0.802621896205727</v>
      </c>
    </row>
    <row r="42" ht="23.25" spans="1:32">
      <c r="A42" s="37"/>
      <c r="B42" s="78" t="s">
        <v>244</v>
      </c>
      <c r="C42" s="78"/>
      <c r="D42" s="79" t="s">
        <v>245</v>
      </c>
      <c r="E42" s="79" t="s">
        <v>246</v>
      </c>
      <c r="F42" s="78" t="s">
        <v>247</v>
      </c>
      <c r="G42" s="78" t="s">
        <v>248</v>
      </c>
      <c r="H42" s="78" t="s">
        <v>21</v>
      </c>
      <c r="AD42" s="152"/>
      <c r="AE42" s="153"/>
      <c r="AF42" s="152"/>
    </row>
    <row r="43" ht="22.5" spans="2:31">
      <c r="B43" s="80" t="s">
        <v>249</v>
      </c>
      <c r="C43" s="81" t="s">
        <v>250</v>
      </c>
      <c r="D43" s="82">
        <v>0.05</v>
      </c>
      <c r="E43" s="82">
        <v>0.056</v>
      </c>
      <c r="F43" s="83" t="s">
        <v>251</v>
      </c>
      <c r="G43" s="84">
        <f>D43/(1.5*0.25)</f>
        <v>0.133333333333333</v>
      </c>
      <c r="H43" s="83">
        <f>ROUND(G43*10000,0)</f>
        <v>1333</v>
      </c>
      <c r="AD43" s="154"/>
      <c r="AE43" s="154"/>
    </row>
    <row r="44" ht="22.5" spans="2:31">
      <c r="B44" s="85"/>
      <c r="C44" s="81"/>
      <c r="D44" s="82"/>
      <c r="E44" s="82"/>
      <c r="F44" s="83" t="s">
        <v>252</v>
      </c>
      <c r="G44" s="84">
        <f>E43*1.5</f>
        <v>0.084</v>
      </c>
      <c r="H44" s="83">
        <f t="shared" ref="H44:H53" si="12">ROUND(G44*10000,0)</f>
        <v>840</v>
      </c>
      <c r="AD44" s="154"/>
      <c r="AE44" s="154"/>
    </row>
    <row r="45" ht="22.5" spans="2:31">
      <c r="B45" s="85"/>
      <c r="C45" s="81"/>
      <c r="D45" s="82"/>
      <c r="E45" s="82"/>
      <c r="F45" s="83" t="s">
        <v>253</v>
      </c>
      <c r="G45" s="84">
        <f>D43/1.5</f>
        <v>0.0333333333333333</v>
      </c>
      <c r="H45" s="83">
        <f t="shared" si="12"/>
        <v>333</v>
      </c>
      <c r="AD45" s="154"/>
      <c r="AE45" s="154"/>
    </row>
    <row r="46" ht="22.5" spans="2:31">
      <c r="B46" s="86" t="s">
        <v>254</v>
      </c>
      <c r="C46" s="81" t="s">
        <v>250</v>
      </c>
      <c r="D46" s="82">
        <v>0.06</v>
      </c>
      <c r="E46" s="82">
        <v>0.08</v>
      </c>
      <c r="F46" s="83" t="s">
        <v>255</v>
      </c>
      <c r="G46" s="84">
        <f>D46*0.98</f>
        <v>0.0588</v>
      </c>
      <c r="H46" s="83">
        <f t="shared" si="12"/>
        <v>588</v>
      </c>
      <c r="AD46" s="154"/>
      <c r="AE46" s="155"/>
    </row>
    <row r="47" ht="22.5" spans="2:32">
      <c r="B47" s="83"/>
      <c r="C47" s="81"/>
      <c r="D47" s="82"/>
      <c r="E47" s="82"/>
      <c r="F47" s="83" t="s">
        <v>103</v>
      </c>
      <c r="G47" s="84">
        <f>E46*0.85</f>
        <v>0.068</v>
      </c>
      <c r="H47" s="83">
        <f t="shared" si="12"/>
        <v>680</v>
      </c>
      <c r="AD47" s="154"/>
      <c r="AE47" s="154"/>
      <c r="AF47" s="154"/>
    </row>
    <row r="48" ht="22.5" spans="2:32">
      <c r="B48" s="86" t="s">
        <v>256</v>
      </c>
      <c r="C48" s="81" t="s">
        <v>215</v>
      </c>
      <c r="D48" s="82">
        <v>0.04</v>
      </c>
      <c r="E48" s="82">
        <f>D48*1.1</f>
        <v>0.044</v>
      </c>
      <c r="F48" s="83" t="s">
        <v>128</v>
      </c>
      <c r="G48" s="84">
        <f>D48</f>
        <v>0.04</v>
      </c>
      <c r="H48" s="83">
        <f t="shared" si="12"/>
        <v>400</v>
      </c>
      <c r="AD48" s="154"/>
      <c r="AE48" s="154"/>
      <c r="AF48" s="154"/>
    </row>
    <row r="49" ht="22.5" spans="2:32">
      <c r="B49" s="83"/>
      <c r="C49" s="81"/>
      <c r="D49" s="82"/>
      <c r="E49" s="82"/>
      <c r="F49" s="83" t="s">
        <v>103</v>
      </c>
      <c r="G49" s="84">
        <f>E48*1.15</f>
        <v>0.0506</v>
      </c>
      <c r="H49" s="83">
        <f t="shared" si="12"/>
        <v>506</v>
      </c>
      <c r="AD49" s="154"/>
      <c r="AE49" s="154"/>
      <c r="AF49" s="154"/>
    </row>
    <row r="50" ht="22.5" spans="2:8">
      <c r="B50" s="87" t="s">
        <v>257</v>
      </c>
      <c r="C50" s="81" t="s">
        <v>215</v>
      </c>
      <c r="D50" s="82">
        <v>0.04</v>
      </c>
      <c r="E50" s="82">
        <f>D50*1.1</f>
        <v>0.044</v>
      </c>
      <c r="F50" s="83" t="s">
        <v>258</v>
      </c>
      <c r="G50" s="84">
        <f>D50*1.1</f>
        <v>0.044</v>
      </c>
      <c r="H50" s="83">
        <f t="shared" si="12"/>
        <v>440</v>
      </c>
    </row>
    <row r="51" ht="24" customHeight="1" spans="2:8">
      <c r="B51" s="87"/>
      <c r="C51" s="81"/>
      <c r="D51" s="82"/>
      <c r="E51" s="82"/>
      <c r="F51" s="83" t="s">
        <v>259</v>
      </c>
      <c r="G51" s="84">
        <f>D50</f>
        <v>0.04</v>
      </c>
      <c r="H51" s="83">
        <f t="shared" si="12"/>
        <v>400</v>
      </c>
    </row>
    <row r="52" ht="22.5" spans="2:8">
      <c r="B52" s="87"/>
      <c r="C52" s="81"/>
      <c r="D52" s="82"/>
      <c r="E52" s="82"/>
      <c r="F52" s="83" t="s">
        <v>260</v>
      </c>
      <c r="G52" s="84">
        <f>E50*1.1*1.1</f>
        <v>0.05324</v>
      </c>
      <c r="H52" s="83">
        <f t="shared" si="12"/>
        <v>532</v>
      </c>
    </row>
    <row r="53" ht="22.5" spans="2:8">
      <c r="B53" s="87"/>
      <c r="C53" s="81"/>
      <c r="D53" s="82"/>
      <c r="E53" s="82"/>
      <c r="F53" s="83" t="s">
        <v>261</v>
      </c>
      <c r="G53" s="84">
        <f>E50*1.1*(1+E60)</f>
        <v>0.05566</v>
      </c>
      <c r="H53" s="83">
        <f t="shared" si="12"/>
        <v>557</v>
      </c>
    </row>
    <row r="54" ht="22.5" spans="2:7">
      <c r="B54" s="88" t="s">
        <v>262</v>
      </c>
      <c r="C54" s="88"/>
      <c r="D54" s="89" t="s">
        <v>263</v>
      </c>
      <c r="E54" s="89" t="s">
        <v>264</v>
      </c>
      <c r="F54" s="88" t="s">
        <v>247</v>
      </c>
      <c r="G54" s="88" t="s">
        <v>248</v>
      </c>
    </row>
    <row r="55" ht="22.5" spans="2:8">
      <c r="B55" s="85" t="s">
        <v>265</v>
      </c>
      <c r="C55" s="81" t="s">
        <v>250</v>
      </c>
      <c r="D55" s="82">
        <v>0.095</v>
      </c>
      <c r="E55" s="90" t="s">
        <v>178</v>
      </c>
      <c r="F55" s="84" t="s">
        <v>266</v>
      </c>
      <c r="G55" s="84">
        <f>D55/(1+15%)*0.95</f>
        <v>0.0784782608695652</v>
      </c>
      <c r="H55" s="83">
        <f t="shared" ref="H55:H63" si="13">ROUND(G55*10000,0)</f>
        <v>785</v>
      </c>
    </row>
    <row r="56" ht="22.5" spans="2:8">
      <c r="B56" s="85"/>
      <c r="C56" s="81"/>
      <c r="D56" s="82"/>
      <c r="E56" s="91"/>
      <c r="F56" s="84" t="s">
        <v>267</v>
      </c>
      <c r="G56" s="84">
        <f>D55/(1+35%)*0.95</f>
        <v>0.0668518518518518</v>
      </c>
      <c r="H56" s="83">
        <f t="shared" si="13"/>
        <v>669</v>
      </c>
    </row>
    <row r="57" ht="22.5" spans="2:8">
      <c r="B57" s="85"/>
      <c r="C57" s="81"/>
      <c r="D57" s="82"/>
      <c r="E57" s="92"/>
      <c r="F57" s="84" t="s">
        <v>268</v>
      </c>
      <c r="G57" s="84">
        <f>D55/(1+50%)*0.95</f>
        <v>0.0601666666666667</v>
      </c>
      <c r="H57" s="83">
        <f t="shared" si="13"/>
        <v>602</v>
      </c>
    </row>
    <row r="58" ht="22.5" spans="2:8">
      <c r="B58" s="93" t="s">
        <v>269</v>
      </c>
      <c r="C58" s="81" t="s">
        <v>215</v>
      </c>
      <c r="D58" s="82">
        <v>0.0344</v>
      </c>
      <c r="E58" s="82">
        <v>0.0086</v>
      </c>
      <c r="F58" s="84" t="s">
        <v>270</v>
      </c>
      <c r="G58" s="84">
        <f>(1+D58/(1+G63+IF(C60="有",D60,0)))*(1+(E58*(0.1+0.2+0.3+0.4+2.5))*0.8)-1</f>
        <v>0.0582822834951457</v>
      </c>
      <c r="H58" s="83">
        <f t="shared" si="13"/>
        <v>583</v>
      </c>
    </row>
    <row r="59" ht="22.5" spans="2:8">
      <c r="B59" s="93"/>
      <c r="C59" s="81"/>
      <c r="D59" s="82"/>
      <c r="E59" s="82"/>
      <c r="F59" s="84" t="s">
        <v>271</v>
      </c>
      <c r="G59" s="84">
        <f>(1+D58/(1+G63+IF(C60="有",D60,0)))*(1+(E58*(5))*0.8)-1</f>
        <v>0.0689469514563106</v>
      </c>
      <c r="H59" s="83">
        <f t="shared" si="13"/>
        <v>689</v>
      </c>
    </row>
    <row r="60" ht="22.5" spans="2:8">
      <c r="B60" s="85" t="s">
        <v>272</v>
      </c>
      <c r="C60" s="81" t="s">
        <v>215</v>
      </c>
      <c r="D60" s="82">
        <v>0.0225</v>
      </c>
      <c r="E60" s="82">
        <v>0.15</v>
      </c>
      <c r="F60" s="84" t="s">
        <v>273</v>
      </c>
      <c r="G60" s="84">
        <f>$D$60/(1+$G$63)+$C$22*1.2*0.33</f>
        <v>0.0614446601941748</v>
      </c>
      <c r="H60" s="83">
        <f t="shared" si="13"/>
        <v>614</v>
      </c>
    </row>
    <row r="61" ht="22.5" spans="2:8">
      <c r="B61" s="85"/>
      <c r="C61" s="81"/>
      <c r="D61" s="82"/>
      <c r="E61" s="82"/>
      <c r="F61" s="84" t="s">
        <v>274</v>
      </c>
      <c r="G61" s="84">
        <f>$D$60/(1+$G$63)+$C$22*0.33</f>
        <v>0.0548446601941748</v>
      </c>
      <c r="H61" s="83">
        <f t="shared" si="13"/>
        <v>548</v>
      </c>
    </row>
    <row r="62" ht="22.5" spans="2:42">
      <c r="B62" s="83" t="s">
        <v>275</v>
      </c>
      <c r="C62" s="81" t="s">
        <v>215</v>
      </c>
      <c r="D62" s="82">
        <v>0.045</v>
      </c>
      <c r="E62" s="83" t="s">
        <v>178</v>
      </c>
      <c r="F62" s="84">
        <f>2*D62</f>
        <v>0.09</v>
      </c>
      <c r="G62" s="84">
        <f>F62*0.4</f>
        <v>0.036</v>
      </c>
      <c r="H62" s="83">
        <f t="shared" si="13"/>
        <v>360</v>
      </c>
      <c r="AP62" s="33"/>
    </row>
    <row r="63" ht="22.5" spans="2:42">
      <c r="B63" s="83" t="s">
        <v>276</v>
      </c>
      <c r="C63" s="81">
        <v>30</v>
      </c>
      <c r="D63" s="83" t="s">
        <v>178</v>
      </c>
      <c r="E63" s="83" t="s">
        <v>178</v>
      </c>
      <c r="F63" s="84">
        <f>C63*0.1%</f>
        <v>0.03</v>
      </c>
      <c r="G63" s="84">
        <f>F63</f>
        <v>0.03</v>
      </c>
      <c r="H63" s="83">
        <f t="shared" si="13"/>
        <v>300</v>
      </c>
      <c r="AP63" s="33"/>
    </row>
    <row r="64" spans="42:42">
      <c r="AP64" s="33"/>
    </row>
    <row r="65" spans="42:42">
      <c r="AP65" s="33"/>
    </row>
    <row r="66" spans="42:42">
      <c r="AP66" s="33"/>
    </row>
    <row r="67" spans="42:42">
      <c r="AP67" s="33"/>
    </row>
    <row r="68" spans="42:42">
      <c r="AP68" s="33"/>
    </row>
  </sheetData>
  <sheetProtection algorithmName="SHA-512" hashValue="YSLckzlJKKfF9hNYJr/3GBR+LQXpeUeOCxsXwuy4LVo5pqd8OK3zUJA5BmjLdjQ2e8eoCx4MCPxJ5tgn+xaCiw==" saltValue="xOEV6zfMxghujYOkXm+c0A==" spinCount="100000" sheet="1" selectLockedCells="1" objects="1"/>
  <protectedRanges>
    <protectedRange sqref="K4 O17:O25 S17:S25 C16:D16 D17 D18 D19 O31:O36 O37 O39 O38 S31:S36 S37 D32 D30 S38 S39" name="区域1"/>
  </protectedRanges>
  <mergeCells count="97">
    <mergeCell ref="A1:X1"/>
    <mergeCell ref="AH1:AJ1"/>
    <mergeCell ref="A2:X2"/>
    <mergeCell ref="AG2:AI2"/>
    <mergeCell ref="AJ2:AL2"/>
    <mergeCell ref="B3:I3"/>
    <mergeCell ref="K3:O3"/>
    <mergeCell ref="P3:Q3"/>
    <mergeCell ref="U3:AA3"/>
    <mergeCell ref="AB3:AC3"/>
    <mergeCell ref="K4:O4"/>
    <mergeCell ref="P4:Q4"/>
    <mergeCell ref="Y4:AA4"/>
    <mergeCell ref="P5:T5"/>
    <mergeCell ref="Y5:AA5"/>
    <mergeCell ref="K6:O6"/>
    <mergeCell ref="Y6:AA6"/>
    <mergeCell ref="L7:M7"/>
    <mergeCell ref="N7:O7"/>
    <mergeCell ref="Y7:AA7"/>
    <mergeCell ref="L8:M8"/>
    <mergeCell ref="N8:O8"/>
    <mergeCell ref="Y8:AA8"/>
    <mergeCell ref="Y9:AA9"/>
    <mergeCell ref="K10:O10"/>
    <mergeCell ref="Y10:AA10"/>
    <mergeCell ref="L11:M11"/>
    <mergeCell ref="N11:O11"/>
    <mergeCell ref="U11:AC11"/>
    <mergeCell ref="L12:M12"/>
    <mergeCell ref="N12:O12"/>
    <mergeCell ref="E15:F15"/>
    <mergeCell ref="G15:H15"/>
    <mergeCell ref="I15:J15"/>
    <mergeCell ref="K15:L15"/>
    <mergeCell ref="N15:U15"/>
    <mergeCell ref="E16:F16"/>
    <mergeCell ref="C20:D20"/>
    <mergeCell ref="E20:F20"/>
    <mergeCell ref="C21:D21"/>
    <mergeCell ref="C22:D22"/>
    <mergeCell ref="C23:D23"/>
    <mergeCell ref="C24:D24"/>
    <mergeCell ref="N26:O26"/>
    <mergeCell ref="R26:S26"/>
    <mergeCell ref="E28:F28"/>
    <mergeCell ref="G28:H28"/>
    <mergeCell ref="I28:J28"/>
    <mergeCell ref="K28:L28"/>
    <mergeCell ref="E29:F29"/>
    <mergeCell ref="C33:D33"/>
    <mergeCell ref="E33:F33"/>
    <mergeCell ref="C34:D34"/>
    <mergeCell ref="C35:D35"/>
    <mergeCell ref="C36:D36"/>
    <mergeCell ref="C37:D37"/>
    <mergeCell ref="N40:O40"/>
    <mergeCell ref="R40:S40"/>
    <mergeCell ref="B41:G41"/>
    <mergeCell ref="B42:C42"/>
    <mergeCell ref="B54:C54"/>
    <mergeCell ref="B43:B45"/>
    <mergeCell ref="B46:B47"/>
    <mergeCell ref="B48:B49"/>
    <mergeCell ref="B50:B53"/>
    <mergeCell ref="B55:B57"/>
    <mergeCell ref="B58:B59"/>
    <mergeCell ref="B60:B61"/>
    <mergeCell ref="C43:C45"/>
    <mergeCell ref="C46:C47"/>
    <mergeCell ref="C48:C49"/>
    <mergeCell ref="C50:C53"/>
    <mergeCell ref="C55:C57"/>
    <mergeCell ref="C58:C59"/>
    <mergeCell ref="C60:C61"/>
    <mergeCell ref="D43:D45"/>
    <mergeCell ref="D46:D47"/>
    <mergeCell ref="D48:D49"/>
    <mergeCell ref="D50:D53"/>
    <mergeCell ref="D55:D57"/>
    <mergeCell ref="D58:D59"/>
    <mergeCell ref="D60:D61"/>
    <mergeCell ref="E4:E6"/>
    <mergeCell ref="E7:E12"/>
    <mergeCell ref="E43:E45"/>
    <mergeCell ref="E46:E47"/>
    <mergeCell ref="E48:E49"/>
    <mergeCell ref="E50:E53"/>
    <mergeCell ref="E55:E57"/>
    <mergeCell ref="E58:E59"/>
    <mergeCell ref="E60:E61"/>
    <mergeCell ref="I4:I6"/>
    <mergeCell ref="I7:I12"/>
    <mergeCell ref="U12:U13"/>
    <mergeCell ref="X12:AA13"/>
    <mergeCell ref="AB4:AC10"/>
    <mergeCell ref="N28:U29"/>
  </mergeCells>
  <conditionalFormatting sqref="P7:T7">
    <cfRule type="cellIs" dxfId="1" priority="43" operator="greaterThan">
      <formula>P$8</formula>
    </cfRule>
    <cfRule type="cellIs" dxfId="2" priority="45" operator="lessThan">
      <formula>P$8</formula>
    </cfRule>
    <cfRule type="cellIs" dxfId="1" priority="47" operator="greaterThan">
      <formula>$P$8</formula>
    </cfRule>
  </conditionalFormatting>
  <conditionalFormatting sqref="P8:T8">
    <cfRule type="cellIs" dxfId="1" priority="40" operator="greaterThan">
      <formula>P$7</formula>
    </cfRule>
    <cfRule type="cellIs" dxfId="2" priority="39" operator="lessThan">
      <formula>P$7</formula>
    </cfRule>
  </conditionalFormatting>
  <conditionalFormatting sqref="L11:O11">
    <cfRule type="expression" dxfId="3" priority="11">
      <formula>$N11=$BD$10</formula>
    </cfRule>
    <cfRule type="expression" dxfId="4" priority="12">
      <formula>$N11=$BD$9</formula>
    </cfRule>
    <cfRule type="expression" dxfId="5" priority="13">
      <formula>$N11=$BD$8</formula>
    </cfRule>
    <cfRule type="expression" dxfId="6" priority="14">
      <formula>$N11=$BD$7</formula>
    </cfRule>
    <cfRule type="expression" dxfId="7" priority="15">
      <formula>$N11=$BD$6</formula>
    </cfRule>
    <cfRule type="expression" dxfId="8" priority="16">
      <formula>$N11=$BD$5</formula>
    </cfRule>
  </conditionalFormatting>
  <conditionalFormatting sqref="D12">
    <cfRule type="dataBar" priority="1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{ec6de9d3-1b5f-4a4f-9449-13c8f9a15b83}</x14:id>
        </ext>
      </extLst>
    </cfRule>
    <cfRule type="dataBar" priority="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{5acb66b3-7851-4669-912a-590f9b2033ad}</x14:id>
        </ext>
      </extLst>
    </cfRule>
  </conditionalFormatting>
  <conditionalFormatting sqref="H12">
    <cfRule type="dataBar" priority="1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{636ae78a-768f-4966-a5a8-ca78d67a35cb}</x14:id>
        </ext>
      </extLst>
    </cfRule>
    <cfRule type="dataBar" priority="1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{c23de1e9-6885-4283-8ca3-4c5cb2811375}</x14:id>
        </ext>
      </extLst>
    </cfRule>
  </conditionalFormatting>
  <conditionalFormatting sqref="L12:O12">
    <cfRule type="expression" dxfId="3" priority="5">
      <formula>$N12=$BD$10</formula>
    </cfRule>
    <cfRule type="expression" dxfId="4" priority="6">
      <formula>$N12=$BD$9</formula>
    </cfRule>
    <cfRule type="expression" dxfId="5" priority="7">
      <formula>$N12=$BD$8</formula>
    </cfRule>
    <cfRule type="expression" dxfId="6" priority="8">
      <formula>$N12=$BD$7</formula>
    </cfRule>
    <cfRule type="expression" dxfId="7" priority="9">
      <formula>$N12=$BD$6</formula>
    </cfRule>
    <cfRule type="expression" dxfId="8" priority="10">
      <formula>$N12=$BD$5</formula>
    </cfRule>
  </conditionalFormatting>
  <conditionalFormatting sqref="P19">
    <cfRule type="dataBar" priority="1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{2cb9b9bd-4418-448e-85e8-51ef80c5de55}</x14:id>
        </ext>
      </extLst>
    </cfRule>
    <cfRule type="dataBar" priority="1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{c468abeb-44b2-4898-87d8-ef4a1b3e1137}</x14:id>
        </ext>
      </extLst>
    </cfRule>
  </conditionalFormatting>
  <conditionalFormatting sqref="T22"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{e992a26b-48fd-4e1f-b0f4-91ce9c596542}</x14:id>
        </ext>
      </extLst>
    </cfRule>
  </conditionalFormatting>
  <conditionalFormatting sqref="J25"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{e013714d-e22f-4138-a575-7bab306572d3}</x14:id>
        </ext>
      </extLst>
    </cfRule>
  </conditionalFormatting>
  <conditionalFormatting sqref="L25"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{98fbb6fa-c15f-4001-b614-16a18eae7892}</x14:id>
        </ext>
      </extLst>
    </cfRule>
  </conditionalFormatting>
  <conditionalFormatting sqref="T25">
    <cfRule type="dataBar" priority="1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{fe32bd9d-c24a-4194-92eb-968f1c923018}</x14:id>
        </ext>
      </extLst>
    </cfRule>
  </conditionalFormatting>
  <conditionalFormatting sqref="P33"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{0fb558f8-82f2-4732-a5eb-f8988a87ce24}</x14:id>
        </ext>
      </extLst>
    </cfRule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{9016e539-9703-4cb8-be68-fc08c318a36d}</x14:id>
        </ext>
      </extLst>
    </cfRule>
  </conditionalFormatting>
  <conditionalFormatting sqref="T36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{6203bb4f-dab6-474d-84cf-7b2685cd7163}</x14:id>
        </ext>
      </extLst>
    </cfRule>
  </conditionalFormatting>
  <conditionalFormatting sqref="L38"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{055a54c1-dc16-4710-ae65-13c8d828d019}</x14:id>
        </ext>
      </extLst>
    </cfRule>
  </conditionalFormatting>
  <conditionalFormatting sqref="T39">
    <cfRule type="dataBar" priority="1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{99571f0c-a436-4e18-9a5f-9d79b38ffa95}</x14:id>
        </ext>
      </extLst>
    </cfRule>
  </conditionalFormatting>
  <conditionalFormatting sqref="D4:D11">
    <cfRule type="dataBar" priority="1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{286f67c8-dda4-45f6-93f7-f3e9742d1e0a}</x14:id>
        </ext>
      </extLst>
    </cfRule>
    <cfRule type="dataBar" priority="1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{e2e8af93-74a6-4f53-a323-89e8db50a8e1}</x14:id>
        </ext>
      </extLst>
    </cfRule>
  </conditionalFormatting>
  <conditionalFormatting sqref="D4:D12">
    <cfRule type="top10" dxfId="0" priority="151" rank="3"/>
  </conditionalFormatting>
  <conditionalFormatting sqref="G43:G63">
    <cfRule type="top10" dxfId="0" priority="62" rank="8"/>
    <cfRule type="top10" dxfId="9" priority="73" rank="5"/>
  </conditionalFormatting>
  <conditionalFormatting sqref="H4:H11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{006d2f55-2793-4c3d-a878-d642692ffaa4}</x14:id>
        </ext>
      </extLst>
    </cfRule>
    <cfRule type="dataBar" priority="1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{a55fb82a-5a44-4950-98e1-257dc2178f50}</x14:id>
        </ext>
      </extLst>
    </cfRule>
  </conditionalFormatting>
  <conditionalFormatting sqref="H4:H12">
    <cfRule type="top10" dxfId="0" priority="146" rank="3"/>
  </conditionalFormatting>
  <conditionalFormatting sqref="J16:J24">
    <cfRule type="dataBar" priority="1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{c079d654-d990-4d3c-a1cd-72e0ebdef09d}</x14:id>
        </ext>
      </extLst>
    </cfRule>
  </conditionalFormatting>
  <conditionalFormatting sqref="J29:J31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{d0a569f1-322b-4e94-9301-2d42b957bf9e}</x14:id>
        </ext>
      </extLst>
    </cfRule>
  </conditionalFormatting>
  <conditionalFormatting sqref="J32:J37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{0d1557e8-b4a9-4d03-95d8-3f2b57914f71}</x14:id>
        </ext>
      </extLst>
    </cfRule>
  </conditionalFormatting>
  <conditionalFormatting sqref="L16:L24"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{1e271c0e-6655-4d92-a8ba-ac787fc70f87}</x14:id>
        </ext>
      </extLst>
    </cfRule>
  </conditionalFormatting>
  <conditionalFormatting sqref="L29:L34"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{7358b9db-8f62-4b73-a636-4dca809455bf}</x14:id>
        </ext>
      </extLst>
    </cfRule>
  </conditionalFormatting>
  <conditionalFormatting sqref="L35:L37">
    <cfRule type="dataBar" priority="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{7bf86455-2994-4690-9800-2c2ac714260c}</x14:id>
        </ext>
      </extLst>
    </cfRule>
  </conditionalFormatting>
  <conditionalFormatting sqref="L7 N7:O7">
    <cfRule type="expression" dxfId="3" priority="133">
      <formula>$N$7=$BD$10</formula>
    </cfRule>
    <cfRule type="expression" dxfId="4" priority="134">
      <formula>$N$7=$BD$9</formula>
    </cfRule>
    <cfRule type="expression" dxfId="5" priority="135">
      <formula>$N$7=$BD$8</formula>
    </cfRule>
    <cfRule type="expression" dxfId="6" priority="136">
      <formula>$N$7=$BD$7</formula>
    </cfRule>
    <cfRule type="expression" dxfId="10" priority="137">
      <formula>$N$7=$BD$6</formula>
    </cfRule>
    <cfRule type="expression" dxfId="8" priority="138">
      <formula>$N$7=$BD$5</formula>
    </cfRule>
  </conditionalFormatting>
  <conditionalFormatting sqref="L8 N8:O8">
    <cfRule type="expression" dxfId="3" priority="127">
      <formula>$N8=$BD$10</formula>
    </cfRule>
    <cfRule type="expression" dxfId="4" priority="128">
      <formula>$N8=$BD$9</formula>
    </cfRule>
    <cfRule type="expression" dxfId="5" priority="129">
      <formula>$N8=$BD$8</formula>
    </cfRule>
    <cfRule type="expression" dxfId="6" priority="130">
      <formula>$N8=$BD$7</formula>
    </cfRule>
    <cfRule type="expression" dxfId="7" priority="131">
      <formula>$N8=$BD$6</formula>
    </cfRule>
    <cfRule type="expression" dxfId="8" priority="132">
      <formula>$N8=$BD$5</formula>
    </cfRule>
  </conditionalFormatting>
  <conditionalFormatting sqref="P11:R11 T11">
    <cfRule type="cellIs" dxfId="1" priority="36" operator="greaterThan">
      <formula>P$8</formula>
    </cfRule>
    <cfRule type="cellIs" dxfId="2" priority="37" operator="lessThan">
      <formula>P$8</formula>
    </cfRule>
    <cfRule type="cellIs" dxfId="1" priority="38" operator="greaterThan">
      <formula>$P$8</formula>
    </cfRule>
  </conditionalFormatting>
  <conditionalFormatting sqref="P12:R12 T12">
    <cfRule type="cellIs" dxfId="1" priority="35" operator="greaterThan">
      <formula>P$7</formula>
    </cfRule>
    <cfRule type="cellIs" dxfId="2" priority="34" operator="lessThan">
      <formula>P$7</formula>
    </cfRule>
  </conditionalFormatting>
  <conditionalFormatting sqref="P17:P18 P20:P25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{9ecbe9ef-f204-4724-bb9e-32b645092399}</x14:id>
        </ext>
      </extLst>
    </cfRule>
    <cfRule type="dataBar" priority="1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{d7faad15-977f-4fb8-9ede-176a0f454542}</x14:id>
        </ext>
      </extLst>
    </cfRule>
  </conditionalFormatting>
  <conditionalFormatting sqref="T17:T21 T23:T24">
    <cfRule type="dataBar" priority="1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{3a4c9648-ad75-476a-8993-c21ac9cd0a71}</x14:id>
        </ext>
      </extLst>
    </cfRule>
  </conditionalFormatting>
  <conditionalFormatting sqref="P31:P32 P34:P39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{5993348c-adfc-425f-9320-b214fadb58f4}</x14:id>
        </ext>
      </extLst>
    </cfRule>
    <cfRule type="dataBar" priority="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{f98b189c-6921-4cd8-be98-0633151776ab}</x14:id>
        </ext>
      </extLst>
    </cfRule>
  </conditionalFormatting>
  <conditionalFormatting sqref="T31:T35 T37:T38">
    <cfRule type="dataBar" priority="1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{9986032a-2903-4ae9-b635-10df9390cdc6}</x14:id>
        </ext>
      </extLst>
    </cfRule>
  </conditionalFormatting>
  <dataValidations count="15">
    <dataValidation type="list" allowBlank="1" showInputMessage="1" showErrorMessage="1" sqref="K4:O4">
      <formula1>$AO$4:$AO$16</formula1>
    </dataValidation>
    <dataValidation type="list" allowBlank="1" showInputMessage="1" showErrorMessage="1" sqref="C16 C29">
      <formula1>"无,1金,2金,3金"</formula1>
    </dataValidation>
    <dataValidation type="list" allowBlank="1" showInputMessage="1" showErrorMessage="1" sqref="C17 C30">
      <formula1>"无,1火,2火,3火"</formula1>
    </dataValidation>
    <dataValidation type="list" allowBlank="1" showInputMessage="1" showErrorMessage="1" sqref="C18 C31">
      <formula1>"无,1木,2木,3木"</formula1>
    </dataValidation>
    <dataValidation type="list" allowBlank="1" showInputMessage="1" showErrorMessage="1" sqref="C19 C32">
      <formula1>"无,1土,2土,3土"</formula1>
    </dataValidation>
    <dataValidation type="list" allowBlank="1" showInputMessage="1" showErrorMessage="1" sqref="C43 C46 C48 C50 C55 C58 C60 C62">
      <formula1>"有,无"</formula1>
    </dataValidation>
    <dataValidation type="decimal" operator="between" allowBlank="1" showInputMessage="1" showErrorMessage="1" sqref="D62">
      <formula1>0.045</formula1>
      <formula2>0.06</formula2>
    </dataValidation>
    <dataValidation type="decimal" operator="between" allowBlank="1" showInputMessage="1" showErrorMessage="1" sqref="D55:D57">
      <formula1>0.075</formula1>
      <formula2>0.1</formula2>
    </dataValidation>
    <dataValidation type="decimal" operator="between" allowBlank="1" showInputMessage="1" showErrorMessage="1" sqref="D58:D59">
      <formula1>0.03</formula1>
      <formula2>0.04</formula2>
    </dataValidation>
    <dataValidation type="decimal" operator="between" allowBlank="1" showInputMessage="1" showErrorMessage="1" sqref="D60:D61">
      <formula1>0.0225</formula1>
      <formula2>0.03</formula2>
    </dataValidation>
    <dataValidation type="list" allowBlank="1" showInputMessage="1" showErrorMessage="1" sqref="E17:E19 E30:E32 V32:V34">
      <formula1>$AF$4:$AF$7</formula1>
    </dataValidation>
    <dataValidation type="list" allowBlank="1" showInputMessage="1" showErrorMessage="1" sqref="E21:E24 E34:E37 V36:V39">
      <formula1>$AF$9:$AF$30</formula1>
    </dataValidation>
    <dataValidation type="decimal" operator="between" allowBlank="1" showInputMessage="1" showErrorMessage="1" sqref="E58:E59">
      <formula1>0.0075</formula1>
      <formula2>0.01</formula2>
    </dataValidation>
    <dataValidation type="decimal" operator="between" allowBlank="1" showInputMessage="1" showErrorMessage="1" sqref="E60:E61">
      <formula1>0.15</formula1>
      <formula2>0.2</formula2>
    </dataValidation>
    <dataValidation type="list" allowBlank="1" showInputMessage="1" showErrorMessage="1" sqref="F17:F19 F21:F24 F30:F32 F34:F37 W32:W34 W36:W39">
      <formula1>"普通,灵韵"</formula1>
    </dataValidation>
  </dataValidations>
  <pageMargins left="0.7" right="0.7" top="0.75" bottom="0.75" header="0.3" footer="0.3"/>
  <pageSetup paperSize="9" orientation="portrait"/>
  <headerFooter/>
  <ignoredErrors>
    <ignoredError sqref="V13" unlockedFormula="1"/>
  </ignoredError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6de9d3-1b5f-4a4f-9449-13c8f9a15b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5acb66b3-7851-4669-912a-590f9b2033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D12</xm:sqref>
        </x14:conditionalFormatting>
        <x14:conditionalFormatting xmlns:xm="http://schemas.microsoft.com/office/excel/2006/main">
          <x14:cfRule type="dataBar" id="{636ae78a-768f-4966-a5a8-ca78d67a35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23de1e9-6885-4283-8ca3-4c5cb28113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H12</xm:sqref>
        </x14:conditionalFormatting>
        <x14:conditionalFormatting xmlns:xm="http://schemas.microsoft.com/office/excel/2006/main">
          <x14:cfRule type="dataBar" id="{2cb9b9bd-4418-448e-85e8-51ef80c5de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468abeb-44b2-4898-87d8-ef4a1b3e11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P19</xm:sqref>
        </x14:conditionalFormatting>
        <x14:conditionalFormatting xmlns:xm="http://schemas.microsoft.com/office/excel/2006/main">
          <x14:cfRule type="dataBar" id="{e992a26b-48fd-4e1f-b0f4-91ce9c5965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T22</xm:sqref>
        </x14:conditionalFormatting>
        <x14:conditionalFormatting xmlns:xm="http://schemas.microsoft.com/office/excel/2006/main">
          <x14:cfRule type="dataBar" id="{e013714d-e22f-4138-a575-7bab306572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J25</xm:sqref>
        </x14:conditionalFormatting>
        <x14:conditionalFormatting xmlns:xm="http://schemas.microsoft.com/office/excel/2006/main">
          <x14:cfRule type="dataBar" id="{98fbb6fa-c15f-4001-b614-16a18eae78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fe32bd9d-c24a-4194-92eb-968f1c9230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T25</xm:sqref>
        </x14:conditionalFormatting>
        <x14:conditionalFormatting xmlns:xm="http://schemas.microsoft.com/office/excel/2006/main">
          <x14:cfRule type="dataBar" id="{0fb558f8-82f2-4732-a5eb-f8988a87ce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016e539-9703-4cb8-be68-fc08c318a3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P33</xm:sqref>
        </x14:conditionalFormatting>
        <x14:conditionalFormatting xmlns:xm="http://schemas.microsoft.com/office/excel/2006/main">
          <x14:cfRule type="dataBar" id="{6203bb4f-dab6-474d-84cf-7b2685cd71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T36</xm:sqref>
        </x14:conditionalFormatting>
        <x14:conditionalFormatting xmlns:xm="http://schemas.microsoft.com/office/excel/2006/main">
          <x14:cfRule type="dataBar" id="{055a54c1-dc16-4710-ae65-13c8d828d0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L38</xm:sqref>
        </x14:conditionalFormatting>
        <x14:conditionalFormatting xmlns:xm="http://schemas.microsoft.com/office/excel/2006/main">
          <x14:cfRule type="dataBar" id="{99571f0c-a436-4e18-9a5f-9d79b38ffa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T39</xm:sqref>
        </x14:conditionalFormatting>
        <x14:conditionalFormatting xmlns:xm="http://schemas.microsoft.com/office/excel/2006/main">
          <x14:cfRule type="dataBar" id="{286f67c8-dda4-45f6-93f7-f3e9742d1e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2e8af93-74a6-4f53-a323-89e8db50a8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D4:D11</xm:sqref>
        </x14:conditionalFormatting>
        <x14:conditionalFormatting xmlns:xm="http://schemas.microsoft.com/office/excel/2006/main">
          <x14:cfRule type="dataBar" id="{006d2f55-2793-4c3d-a878-d642692ffa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55fb82a-5a44-4950-98e1-257dc2178f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H4:H11</xm:sqref>
        </x14:conditionalFormatting>
        <x14:conditionalFormatting xmlns:xm="http://schemas.microsoft.com/office/excel/2006/main">
          <x14:cfRule type="dataBar" id="{c079d654-d990-4d3c-a1cd-72e0ebdef0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J16:J24</xm:sqref>
        </x14:conditionalFormatting>
        <x14:conditionalFormatting xmlns:xm="http://schemas.microsoft.com/office/excel/2006/main">
          <x14:cfRule type="dataBar" id="{d0a569f1-322b-4e94-9301-2d42b957bf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J29:J31</xm:sqref>
        </x14:conditionalFormatting>
        <x14:conditionalFormatting xmlns:xm="http://schemas.microsoft.com/office/excel/2006/main">
          <x14:cfRule type="dataBar" id="{0d1557e8-b4a9-4d03-95d8-3f2b57914f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J32:J37</xm:sqref>
        </x14:conditionalFormatting>
        <x14:conditionalFormatting xmlns:xm="http://schemas.microsoft.com/office/excel/2006/main">
          <x14:cfRule type="dataBar" id="{1e271c0e-6655-4d92-a8ba-ac787fc70f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L16:L24</xm:sqref>
        </x14:conditionalFormatting>
        <x14:conditionalFormatting xmlns:xm="http://schemas.microsoft.com/office/excel/2006/main">
          <x14:cfRule type="dataBar" id="{7358b9db-8f62-4b73-a636-4dca809455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L29:L34</xm:sqref>
        </x14:conditionalFormatting>
        <x14:conditionalFormatting xmlns:xm="http://schemas.microsoft.com/office/excel/2006/main">
          <x14:cfRule type="dataBar" id="{7bf86455-2994-4690-9800-2c2ac71426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L35:L37</xm:sqref>
        </x14:conditionalFormatting>
        <x14:conditionalFormatting xmlns:xm="http://schemas.microsoft.com/office/excel/2006/main">
          <x14:cfRule type="dataBar" id="{9ecbe9ef-f204-4724-bb9e-32b6450923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7faad15-977f-4fb8-9ede-176a0f4545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P17:P18 P20:P25</xm:sqref>
        </x14:conditionalFormatting>
        <x14:conditionalFormatting xmlns:xm="http://schemas.microsoft.com/office/excel/2006/main">
          <x14:cfRule type="dataBar" id="{3a4c9648-ad75-476a-8993-c21ac9cd0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T17:T21 T23:T24</xm:sqref>
        </x14:conditionalFormatting>
        <x14:conditionalFormatting xmlns:xm="http://schemas.microsoft.com/office/excel/2006/main">
          <x14:cfRule type="dataBar" id="{5993348c-adfc-425f-9320-b214fadb58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98b189c-6921-4cd8-be98-0633151776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P31:P32 P34:P39</xm:sqref>
        </x14:conditionalFormatting>
        <x14:conditionalFormatting xmlns:xm="http://schemas.microsoft.com/office/excel/2006/main">
          <x14:cfRule type="dataBar" id="{9986032a-2903-4ae9-b635-10df9390cd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T31:T35 T37:T38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zoomScale="175" zoomScaleNormal="175" workbookViewId="0">
      <selection activeCell="G17" sqref="G17"/>
    </sheetView>
  </sheetViews>
  <sheetFormatPr defaultColWidth="9" defaultRowHeight="13.5"/>
  <cols>
    <col min="1" max="1" width="10.5333333333333" customWidth="1"/>
  </cols>
  <sheetData>
    <row r="1" spans="1:14">
      <c r="A1" s="21" t="s">
        <v>277</v>
      </c>
      <c r="B1" s="10" t="s">
        <v>278</v>
      </c>
      <c r="C1" s="24" t="s">
        <v>279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>
      <c r="A2" s="21" t="s">
        <v>280</v>
      </c>
      <c r="B2" s="21" t="s">
        <v>281</v>
      </c>
      <c r="C2" s="25" t="s">
        <v>282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>
      <c r="A3" s="21" t="s">
        <v>280</v>
      </c>
      <c r="B3" s="21" t="s">
        <v>283</v>
      </c>
      <c r="C3" s="25" t="s">
        <v>284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>
      <c r="A4" s="21"/>
      <c r="B4" s="21"/>
      <c r="C4" s="25" t="s">
        <v>285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>
      <c r="A5" s="21"/>
      <c r="B5" s="21"/>
      <c r="C5" s="25" t="s">
        <v>286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>
      <c r="A6" s="21"/>
      <c r="B6" s="21"/>
      <c r="C6" s="25" t="s">
        <v>287</v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>
      <c r="A7" s="26" t="s">
        <v>288</v>
      </c>
      <c r="B7" s="27" t="s">
        <v>289</v>
      </c>
      <c r="C7" s="28" t="s">
        <v>290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</row>
    <row r="8" spans="1:14">
      <c r="A8" s="29"/>
      <c r="B8" s="30"/>
      <c r="C8" s="28" t="s">
        <v>291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</row>
    <row r="9" spans="1:14">
      <c r="A9" s="29"/>
      <c r="B9" s="30"/>
      <c r="C9" s="28" t="s">
        <v>292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</row>
    <row r="10" spans="1:14">
      <c r="A10" s="29"/>
      <c r="B10" s="30"/>
      <c r="C10" s="28" t="s">
        <v>293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</row>
    <row r="11" spans="1:14">
      <c r="A11" s="29"/>
      <c r="B11" s="30"/>
      <c r="C11" s="28" t="s">
        <v>294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</row>
    <row r="12" spans="1:14">
      <c r="A12" s="29"/>
      <c r="B12" s="30"/>
      <c r="C12" s="28" t="s">
        <v>295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</row>
    <row r="13" spans="1:14">
      <c r="A13" s="31"/>
      <c r="B13" s="32"/>
      <c r="C13" s="28" t="s">
        <v>296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</row>
  </sheetData>
  <mergeCells count="17">
    <mergeCell ref="C1:N1"/>
    <mergeCell ref="C2:N2"/>
    <mergeCell ref="C3:N3"/>
    <mergeCell ref="C4:N4"/>
    <mergeCell ref="C5:N5"/>
    <mergeCell ref="C6:N6"/>
    <mergeCell ref="C7:N7"/>
    <mergeCell ref="C8:N8"/>
    <mergeCell ref="C9:N9"/>
    <mergeCell ref="C10:N10"/>
    <mergeCell ref="C11:N11"/>
    <mergeCell ref="C12:N12"/>
    <mergeCell ref="C13:N13"/>
    <mergeCell ref="A3:A6"/>
    <mergeCell ref="A7:A13"/>
    <mergeCell ref="B3:B6"/>
    <mergeCell ref="B7:B1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4"/>
  <sheetViews>
    <sheetView zoomScale="115" zoomScaleNormal="115" workbookViewId="0">
      <selection activeCell="R8" sqref="R8"/>
    </sheetView>
  </sheetViews>
  <sheetFormatPr defaultColWidth="8.89166666666667" defaultRowHeight="13.5"/>
  <cols>
    <col min="1" max="1" width="10.7333333333333" customWidth="1"/>
    <col min="2" max="2" width="15.6666666666667"/>
    <col min="3" max="3" width="10"/>
    <col min="4" max="4" width="15.075" customWidth="1"/>
    <col min="5" max="6" width="12.8916666666667"/>
    <col min="9" max="9" width="11.65" style="1" customWidth="1"/>
    <col min="10" max="10" width="12.8916666666667" style="1"/>
    <col min="11" max="11" width="13.0166666666667" style="1" customWidth="1"/>
    <col min="12" max="12" width="9.275" style="1" customWidth="1"/>
    <col min="13" max="13" width="13.5583333333333" style="1" customWidth="1"/>
    <col min="14" max="14" width="8.89166666666667" style="1"/>
    <col min="15" max="15" width="15.5583333333333" style="1"/>
    <col min="16" max="17" width="8.89166666666667" style="1"/>
    <col min="18" max="18" width="14.1083333333333" style="1"/>
    <col min="19" max="19" width="12.8916666666667" style="1"/>
    <col min="20" max="20" width="8.89166666666667" style="1"/>
    <col min="28" max="28" width="10.9166666666667" customWidth="1"/>
    <col min="29" max="29" width="11.1083333333333"/>
  </cols>
  <sheetData>
    <row r="1" spans="1:9">
      <c r="A1" s="1" t="s">
        <v>297</v>
      </c>
      <c r="B1" s="1"/>
      <c r="C1" t="s">
        <v>298</v>
      </c>
      <c r="D1" s="1" t="s">
        <v>299</v>
      </c>
      <c r="E1" s="1"/>
      <c r="F1" s="1"/>
      <c r="G1" s="1"/>
      <c r="I1" s="1" t="s">
        <v>300</v>
      </c>
    </row>
    <row r="2" ht="16.5" spans="1:26">
      <c r="A2" s="2" t="s">
        <v>301</v>
      </c>
      <c r="B2" s="3">
        <f>ROUND((C2/(1+J3)+I31+I33*2.5+I38+I39+I37)*J2,0)</f>
        <v>2222</v>
      </c>
      <c r="C2" s="2">
        <v>1800</v>
      </c>
      <c r="D2" t="s">
        <v>41</v>
      </c>
      <c r="E2" s="1">
        <v>3783</v>
      </c>
      <c r="F2" t="s">
        <v>302</v>
      </c>
      <c r="G2" s="1">
        <v>1418</v>
      </c>
      <c r="I2" s="1" t="s">
        <v>303</v>
      </c>
      <c r="J2" s="13">
        <f>1+J3+J9</f>
        <v>1.1713</v>
      </c>
      <c r="K2" s="1" t="s">
        <v>304</v>
      </c>
      <c r="L2" s="1">
        <f>SUM(L3:L10)</f>
        <v>184</v>
      </c>
      <c r="M2" s="1" t="s">
        <v>39</v>
      </c>
      <c r="O2" s="1" t="s">
        <v>305</v>
      </c>
      <c r="Q2" t="s">
        <v>306</v>
      </c>
      <c r="R2" s="13">
        <f>1+R3+R9</f>
        <v>1.097</v>
      </c>
      <c r="T2" s="1" t="s">
        <v>307</v>
      </c>
      <c r="U2" s="13">
        <f>1+U3</f>
        <v>1.062</v>
      </c>
      <c r="V2" s="1"/>
      <c r="W2" s="1" t="s">
        <v>308</v>
      </c>
      <c r="X2" s="1"/>
      <c r="Z2" t="s">
        <v>147</v>
      </c>
    </row>
    <row r="3" ht="16.5" spans="1:24">
      <c r="A3" s="2" t="s">
        <v>309</v>
      </c>
      <c r="B3" s="3">
        <f>C3+I32+I33+N9</f>
        <v>2380</v>
      </c>
      <c r="C3" s="2">
        <v>2150</v>
      </c>
      <c r="D3" t="s">
        <v>310</v>
      </c>
      <c r="E3" s="1">
        <v>1324</v>
      </c>
      <c r="F3" t="s">
        <v>143</v>
      </c>
      <c r="G3" s="1">
        <v>568</v>
      </c>
      <c r="I3" s="1" t="s">
        <v>311</v>
      </c>
      <c r="J3" s="13">
        <f>SUM(J4:J7)</f>
        <v>0.08</v>
      </c>
      <c r="K3" s="1" t="s">
        <v>312</v>
      </c>
      <c r="L3" s="1">
        <v>0</v>
      </c>
      <c r="M3" s="1" t="s">
        <v>313</v>
      </c>
      <c r="N3" s="12">
        <f>SUM(N4:N6)</f>
        <v>0.074</v>
      </c>
      <c r="O3" s="1" t="s">
        <v>85</v>
      </c>
      <c r="Q3" t="s">
        <v>311</v>
      </c>
      <c r="R3" s="12">
        <f>SUM(R4:R8)</f>
        <v>0.1</v>
      </c>
      <c r="T3" s="1" t="s">
        <v>311</v>
      </c>
      <c r="U3" s="13">
        <f>SUM(U4:U5)</f>
        <v>0.062</v>
      </c>
      <c r="V3" s="1"/>
      <c r="W3" s="1" t="s">
        <v>311</v>
      </c>
      <c r="X3" s="11">
        <v>0.27</v>
      </c>
    </row>
    <row r="4" ht="16.5" spans="1:24">
      <c r="A4" s="2" t="s">
        <v>314</v>
      </c>
      <c r="B4" s="3">
        <f>C4+I34+I35*6+P9-P13</f>
        <v>1776</v>
      </c>
      <c r="C4" s="2">
        <v>1375</v>
      </c>
      <c r="D4" t="s">
        <v>315</v>
      </c>
      <c r="E4" s="1">
        <v>399</v>
      </c>
      <c r="I4" s="1" t="s">
        <v>316</v>
      </c>
      <c r="J4" s="13">
        <v>0.03</v>
      </c>
      <c r="K4" s="1" t="s">
        <v>317</v>
      </c>
      <c r="L4" s="1">
        <f>0*30</f>
        <v>0</v>
      </c>
      <c r="M4" t="s">
        <v>318</v>
      </c>
      <c r="N4" s="12">
        <v>0.05</v>
      </c>
      <c r="O4" s="1" t="s">
        <v>319</v>
      </c>
      <c r="P4" s="13">
        <f>IFERROR(IF(VLOOKUP("锻寒芒",'4.1.1.3抗拆内功计算器'!E21:F24,2,0)="普通",6.5%,8%),0)</f>
        <v>0.065</v>
      </c>
      <c r="Q4" t="s">
        <v>163</v>
      </c>
      <c r="R4" s="12">
        <f>'4.1.1.3抗拆内功计算器'!AH6</f>
        <v>0</v>
      </c>
      <c r="T4" s="1" t="s">
        <v>320</v>
      </c>
      <c r="U4" s="13">
        <v>0.027</v>
      </c>
      <c r="V4" s="1"/>
      <c r="W4" s="1"/>
      <c r="X4" s="1"/>
    </row>
    <row r="5" ht="16.5" spans="1:24">
      <c r="A5" s="2" t="s">
        <v>321</v>
      </c>
      <c r="B5" s="4">
        <f>C5+P19+P4</f>
        <v>1.595</v>
      </c>
      <c r="C5" s="5">
        <v>1.42</v>
      </c>
      <c r="D5" s="6" t="s">
        <v>322</v>
      </c>
      <c r="E5" s="7">
        <f>B2+B6</f>
        <v>2601</v>
      </c>
      <c r="I5" s="1" t="s">
        <v>323</v>
      </c>
      <c r="J5" s="13">
        <v>0.05</v>
      </c>
      <c r="K5" s="1" t="s">
        <v>324</v>
      </c>
      <c r="L5" s="1">
        <f>N10</f>
        <v>100</v>
      </c>
      <c r="M5" t="s">
        <v>325</v>
      </c>
      <c r="N5" s="12">
        <f>IF('4.1.1.3抗拆内功计算器'!K4="龙吟",5%,0)</f>
        <v>0</v>
      </c>
      <c r="O5" s="1" t="s">
        <v>326</v>
      </c>
      <c r="P5" s="13">
        <f>IFERROR(IF(VLOOKUP("锻寒芒",'4.1.1.3抗拆内功计算器'!E21:F24,2,0)="普通",10%,13%),0)</f>
        <v>0.1</v>
      </c>
      <c r="Q5" t="s">
        <v>75</v>
      </c>
      <c r="R5" s="12">
        <f>'4.1.1.3抗拆内功计算器'!AH5</f>
        <v>0.06</v>
      </c>
      <c r="T5" s="1" t="s">
        <v>327</v>
      </c>
      <c r="U5" s="13">
        <v>0.035</v>
      </c>
      <c r="V5" s="1"/>
      <c r="W5" s="1"/>
      <c r="X5" s="1"/>
    </row>
    <row r="6" ht="16.5" spans="1:24">
      <c r="A6" s="2" t="s">
        <v>328</v>
      </c>
      <c r="B6" s="3">
        <f>C6</f>
        <v>379</v>
      </c>
      <c r="C6" s="2">
        <v>379</v>
      </c>
      <c r="D6" s="6" t="s">
        <v>329</v>
      </c>
      <c r="E6" s="7">
        <f>E2*(1-N3)-B3</f>
        <v>1123.058</v>
      </c>
      <c r="I6" s="1" t="s">
        <v>175</v>
      </c>
      <c r="K6" s="1" t="s">
        <v>330</v>
      </c>
      <c r="L6" s="1">
        <v>40</v>
      </c>
      <c r="M6" t="s">
        <v>331</v>
      </c>
      <c r="N6" s="12">
        <v>0.024</v>
      </c>
      <c r="Q6" t="s">
        <v>89</v>
      </c>
      <c r="R6" s="12">
        <f>'4.1.1.3抗拆内功计算器'!AH27</f>
        <v>0</v>
      </c>
      <c r="U6" s="1"/>
      <c r="V6" s="1"/>
      <c r="W6" s="1"/>
      <c r="X6" s="1"/>
    </row>
    <row r="7" ht="16.5" spans="1:24">
      <c r="A7" s="2" t="s">
        <v>306</v>
      </c>
      <c r="B7" s="4">
        <v>0.08</v>
      </c>
      <c r="C7" s="5">
        <f>8%-2.5%+1.7%</f>
        <v>0.072</v>
      </c>
      <c r="D7" s="6" t="s">
        <v>332</v>
      </c>
      <c r="E7" s="7">
        <f>B4-E3</f>
        <v>452</v>
      </c>
      <c r="K7" s="20" t="s">
        <v>333</v>
      </c>
      <c r="Q7" t="str">
        <f>'4.1.1.3抗拆内功计算器'!C17</f>
        <v>3火</v>
      </c>
      <c r="R7" s="13" cm="1">
        <f t="array" ref="R7">_xlfn.IFS(Q7="3火",4%,Q7="2火",2.4%,Q7="1火",1.2%,Q7="无",0)</f>
        <v>0.04</v>
      </c>
      <c r="U7" s="1"/>
      <c r="V7" s="1"/>
      <c r="W7" s="1"/>
      <c r="X7" s="1"/>
    </row>
    <row r="8" ht="16.5" spans="1:24">
      <c r="A8" s="2" t="s">
        <v>307</v>
      </c>
      <c r="B8" s="4">
        <v>0.05</v>
      </c>
      <c r="C8" s="5">
        <f>$M$18+$J$17</f>
        <v>0.06</v>
      </c>
      <c r="D8" s="6" t="s">
        <v>334</v>
      </c>
      <c r="E8" s="8">
        <f>1/(1+EXP(1-E7/G3)+P5)</f>
        <v>0.429816447146403</v>
      </c>
      <c r="K8" s="1" t="s">
        <v>335</v>
      </c>
      <c r="L8" s="1">
        <v>22</v>
      </c>
      <c r="Q8" t="s">
        <v>85</v>
      </c>
      <c r="R8" s="12">
        <f>IFERROR(IF(VLOOKUP("锻寒芒",'4.1.1.3抗拆内功计算器'!#REF!,2,0)="普通",-2.5%,-3%),0)</f>
        <v>0</v>
      </c>
      <c r="U8" s="1"/>
      <c r="V8" s="1"/>
      <c r="W8" s="1"/>
      <c r="X8" s="1"/>
    </row>
    <row r="9" ht="16.5" spans="1:24">
      <c r="A9" s="2" t="s">
        <v>308</v>
      </c>
      <c r="B9" s="4">
        <v>0.27</v>
      </c>
      <c r="C9" s="5">
        <v>0.27</v>
      </c>
      <c r="D9" s="6" t="s">
        <v>336</v>
      </c>
      <c r="E9" s="8">
        <f>G2/(E6+G2)</f>
        <v>0.558035275070463</v>
      </c>
      <c r="I9" s="1" t="s">
        <v>337</v>
      </c>
      <c r="J9" s="13">
        <f>SUM(J10:J15)</f>
        <v>0.0913</v>
      </c>
      <c r="K9" s="1" t="s">
        <v>338</v>
      </c>
      <c r="L9" s="1">
        <v>22</v>
      </c>
      <c r="M9" t="s">
        <v>339</v>
      </c>
      <c r="N9">
        <f>SUM(N10:N11)</f>
        <v>110</v>
      </c>
      <c r="O9" t="s">
        <v>340</v>
      </c>
      <c r="P9" s="1">
        <f>SUM(P10:P16)</f>
        <v>157</v>
      </c>
      <c r="Q9" t="s">
        <v>337</v>
      </c>
      <c r="R9" s="12">
        <f>SUM(R10:R14)</f>
        <v>-0.003</v>
      </c>
      <c r="U9" s="1"/>
      <c r="V9" s="1"/>
      <c r="W9" s="1"/>
      <c r="X9" s="1"/>
    </row>
    <row r="10" ht="16.5" spans="1:24">
      <c r="A10" s="2" t="s">
        <v>341</v>
      </c>
      <c r="B10" s="4">
        <v>0</v>
      </c>
      <c r="C10" s="2">
        <v>0</v>
      </c>
      <c r="D10" s="9"/>
      <c r="E10" s="9" t="s">
        <v>24</v>
      </c>
      <c r="F10" s="9" t="s">
        <v>39</v>
      </c>
      <c r="G10" s="9" t="s">
        <v>47</v>
      </c>
      <c r="H10" s="9" t="s">
        <v>193</v>
      </c>
      <c r="I10" s="1" t="s">
        <v>316</v>
      </c>
      <c r="J10" s="13">
        <v>0.01</v>
      </c>
      <c r="M10" t="s">
        <v>324</v>
      </c>
      <c r="N10">
        <f>ROUND(226*20/45,0)</f>
        <v>100</v>
      </c>
      <c r="O10" t="s">
        <v>317</v>
      </c>
      <c r="P10" s="1">
        <f>0*50</f>
        <v>0</v>
      </c>
      <c r="Q10" t="s">
        <v>216</v>
      </c>
      <c r="R10" s="12">
        <f>'4.1.1.3抗拆内功计算器'!L36</f>
        <v>0</v>
      </c>
      <c r="U10" s="1"/>
      <c r="V10" s="1"/>
      <c r="W10" s="1"/>
      <c r="X10" s="1"/>
    </row>
    <row r="11" ht="16.5" spans="1:24">
      <c r="A11" s="2" t="s">
        <v>328</v>
      </c>
      <c r="B11" s="4">
        <v>0.005</v>
      </c>
      <c r="C11" s="2">
        <v>0</v>
      </c>
      <c r="D11" s="9" t="s">
        <v>17</v>
      </c>
      <c r="E11" s="10">
        <v>33</v>
      </c>
      <c r="F11" s="10">
        <v>33</v>
      </c>
      <c r="G11" s="10">
        <v>66</v>
      </c>
      <c r="H11" s="9">
        <v>0.05</v>
      </c>
      <c r="I11" s="1" t="s">
        <v>342</v>
      </c>
      <c r="J11" s="13">
        <v>0.018</v>
      </c>
      <c r="K11" s="1" t="s">
        <v>343</v>
      </c>
      <c r="L11" s="1">
        <f>SUM(L12:L14)</f>
        <v>27</v>
      </c>
      <c r="M11" s="20" t="s">
        <v>344</v>
      </c>
      <c r="N11">
        <f>IF([2]计算器!$F$37="有",IF([2]计算器!$B$69="169项羽",14,10),0)</f>
        <v>10</v>
      </c>
      <c r="O11" t="s">
        <v>345</v>
      </c>
      <c r="P11" s="1">
        <v>50</v>
      </c>
      <c r="Q11" t="s">
        <v>346</v>
      </c>
      <c r="R11" s="12">
        <v>0.025</v>
      </c>
      <c r="U11" s="1"/>
      <c r="V11" s="1"/>
      <c r="W11" s="1"/>
      <c r="X11" s="1"/>
    </row>
    <row r="12" ht="16.5" spans="1:24">
      <c r="A12" s="2" t="s">
        <v>347</v>
      </c>
      <c r="B12" s="4">
        <v>0</v>
      </c>
      <c r="C12" s="2">
        <v>0</v>
      </c>
      <c r="D12" s="9" t="s">
        <v>183</v>
      </c>
      <c r="E12" s="9"/>
      <c r="F12" s="9" cm="1">
        <f t="array" ref="F12">破防(F11,0)</f>
        <v>0.0131575904544472</v>
      </c>
      <c r="G12" s="9" cm="1">
        <f t="array" ref="G12">会心(G11,0)</f>
        <v>0.0135631879423981</v>
      </c>
      <c r="H12" s="9" cm="1">
        <f t="array" ref="H12">会伤(H11,0)</f>
        <v>0.0177206022406227</v>
      </c>
      <c r="I12" s="1" t="s">
        <v>348</v>
      </c>
      <c r="J12" s="13">
        <v>0.0333</v>
      </c>
      <c r="K12" s="1" t="s">
        <v>349</v>
      </c>
      <c r="L12" s="1">
        <v>27</v>
      </c>
      <c r="M12" t="s">
        <v>350</v>
      </c>
      <c r="N12" s="1">
        <v>55</v>
      </c>
      <c r="O12" s="20" t="s">
        <v>344</v>
      </c>
      <c r="P12" s="1">
        <v>12</v>
      </c>
      <c r="Q12" t="s">
        <v>226</v>
      </c>
      <c r="R12" s="12">
        <f>IFERROR(IF(VLOOKUP(Q12,[2]计算器!$K$43:$L$48,2,0)="普通",2.25%,2.25%*1.3),0)</f>
        <v>0</v>
      </c>
      <c r="U12" s="1"/>
      <c r="V12" s="1"/>
      <c r="W12" s="1"/>
      <c r="X12" s="1"/>
    </row>
    <row r="13" spans="4:24">
      <c r="D13" t="s">
        <v>47</v>
      </c>
      <c r="I13" s="1" t="s">
        <v>351</v>
      </c>
      <c r="J13" s="13">
        <v>0.01</v>
      </c>
      <c r="M13" t="s">
        <v>352</v>
      </c>
      <c r="N13">
        <v>30</v>
      </c>
      <c r="O13" t="s">
        <v>353</v>
      </c>
      <c r="P13" s="1">
        <v>47</v>
      </c>
      <c r="Q13" t="s">
        <v>354</v>
      </c>
      <c r="R13" s="12">
        <v>0.012</v>
      </c>
      <c r="U13" s="1"/>
      <c r="V13" s="1"/>
      <c r="W13" s="1"/>
      <c r="X13" s="1"/>
    </row>
    <row r="14" spans="1:24">
      <c r="A14" s="1" t="s">
        <v>355</v>
      </c>
      <c r="B14" s="1"/>
      <c r="C14" s="1" t="s">
        <v>298</v>
      </c>
      <c r="D14" s="1" t="s">
        <v>356</v>
      </c>
      <c r="E14" s="1"/>
      <c r="F14" s="1" t="s">
        <v>298</v>
      </c>
      <c r="I14" s="1" t="s">
        <v>357</v>
      </c>
      <c r="J14" s="13">
        <v>0.01</v>
      </c>
      <c r="O14" t="s">
        <v>358</v>
      </c>
      <c r="P14" s="1">
        <v>48</v>
      </c>
      <c r="Q14" t="str">
        <f>'4.1.1.3抗拆内功计算器'!C17</f>
        <v>3火</v>
      </c>
      <c r="R14" s="12">
        <f>SUM('4.1.1.3抗拆内功计算器'!L29:L31)-R7</f>
        <v>-0.04</v>
      </c>
      <c r="U14" s="1"/>
      <c r="V14" s="1"/>
      <c r="W14" s="1"/>
      <c r="X14" s="1"/>
    </row>
    <row r="15" spans="1:22">
      <c r="A15" s="1" t="s">
        <v>359</v>
      </c>
      <c r="B15" s="1">
        <f>C15+12504+4000+2500</f>
        <v>65004</v>
      </c>
      <c r="C15" s="1">
        <v>46000</v>
      </c>
      <c r="D15" t="s">
        <v>301</v>
      </c>
      <c r="E15">
        <f>(F15/(1+J3)+M31+M33*2.5+L2)*J2</f>
        <v>2518.83726851852</v>
      </c>
      <c r="F15" s="1">
        <v>1850</v>
      </c>
      <c r="G15" t="s">
        <v>302</v>
      </c>
      <c r="I15" s="1" t="s">
        <v>360</v>
      </c>
      <c r="J15" s="13">
        <v>0.01</v>
      </c>
      <c r="O15" t="s">
        <v>361</v>
      </c>
      <c r="P15" s="1">
        <v>0</v>
      </c>
      <c r="U15" s="1"/>
      <c r="V15" s="1"/>
    </row>
    <row r="16" spans="1:13">
      <c r="A16" s="1" t="s">
        <v>362</v>
      </c>
      <c r="B16" s="1">
        <f>C16+70</f>
        <v>1150</v>
      </c>
      <c r="C16" s="1">
        <f>1030+50</f>
        <v>1080</v>
      </c>
      <c r="D16" t="s">
        <v>314</v>
      </c>
      <c r="E16">
        <f>F16+M34+P9</f>
        <v>1715</v>
      </c>
      <c r="F16" s="1">
        <v>1375</v>
      </c>
      <c r="G16" s="1">
        <v>1714</v>
      </c>
      <c r="L16"/>
      <c r="M16"/>
    </row>
    <row r="17" spans="1:10">
      <c r="A17" s="1" t="s">
        <v>363</v>
      </c>
      <c r="B17" s="11">
        <v>0</v>
      </c>
      <c r="C17" s="11">
        <v>0</v>
      </c>
      <c r="D17" t="s">
        <v>364</v>
      </c>
      <c r="E17" s="12">
        <f>F17+P19</f>
        <v>1.53</v>
      </c>
      <c r="F17" s="13">
        <f>142%</f>
        <v>1.42</v>
      </c>
      <c r="G17" s="1" t="s">
        <v>143</v>
      </c>
      <c r="I17" s="1" t="s">
        <v>172</v>
      </c>
      <c r="J17" s="11">
        <v>0.06</v>
      </c>
    </row>
    <row r="18" spans="1:10">
      <c r="A18" s="1" t="s">
        <v>41</v>
      </c>
      <c r="B18" s="1">
        <f>C18+100</f>
        <v>3550</v>
      </c>
      <c r="C18" s="1">
        <v>3450</v>
      </c>
      <c r="D18" t="s">
        <v>309</v>
      </c>
      <c r="E18">
        <f>F18+M32+M33+N9-N12</f>
        <v>2448</v>
      </c>
      <c r="F18" s="1">
        <v>2180</v>
      </c>
      <c r="G18" s="1">
        <v>686</v>
      </c>
      <c r="I18" s="1" t="s">
        <v>186</v>
      </c>
      <c r="J18" s="11">
        <v>0.02</v>
      </c>
    </row>
    <row r="19" spans="1:16">
      <c r="A19" s="1" t="s">
        <v>365</v>
      </c>
      <c r="B19" s="1">
        <f>C19</f>
        <v>469</v>
      </c>
      <c r="C19" s="1">
        <f>229+240</f>
        <v>469</v>
      </c>
      <c r="D19" t="s">
        <v>366</v>
      </c>
      <c r="E19">
        <f>F19+L11</f>
        <v>496</v>
      </c>
      <c r="F19" s="1">
        <f>C19</f>
        <v>469</v>
      </c>
      <c r="I19" s="1" t="s">
        <v>181</v>
      </c>
      <c r="J19" s="11">
        <v>0.05</v>
      </c>
      <c r="O19" s="1" t="s">
        <v>367</v>
      </c>
      <c r="P19" s="13">
        <f>SUM(P20:P23)</f>
        <v>0.11</v>
      </c>
    </row>
    <row r="20" spans="1:16">
      <c r="A20" s="1" t="s">
        <v>368</v>
      </c>
      <c r="B20" s="13">
        <v>0</v>
      </c>
      <c r="C20" s="1"/>
      <c r="D20" t="s">
        <v>369</v>
      </c>
      <c r="E20" s="12">
        <f>F20+R9</f>
        <v>0.077</v>
      </c>
      <c r="F20" s="12">
        <v>0.08</v>
      </c>
      <c r="O20" s="1" t="str">
        <f>'4.1.1.3抗拆内功计算器'!C16</f>
        <v>3金</v>
      </c>
      <c r="P20" s="13">
        <v>0.08</v>
      </c>
    </row>
    <row r="21" spans="1:16">
      <c r="A21" s="1" t="s">
        <v>370</v>
      </c>
      <c r="B21" s="13">
        <v>0</v>
      </c>
      <c r="C21" s="1"/>
      <c r="D21" t="s">
        <v>371</v>
      </c>
      <c r="E21" s="12">
        <f>F21</f>
        <v>0.062</v>
      </c>
      <c r="F21" s="12">
        <v>0.062</v>
      </c>
      <c r="O21" s="1" t="s">
        <v>372</v>
      </c>
      <c r="P21" s="13">
        <v>0.03</v>
      </c>
    </row>
    <row r="22" spans="1:6">
      <c r="A22" s="1" t="s">
        <v>373</v>
      </c>
      <c r="B22" s="13">
        <v>0</v>
      </c>
      <c r="C22" s="1"/>
      <c r="D22" t="s">
        <v>374</v>
      </c>
      <c r="E22" s="12">
        <f>F22</f>
        <v>0.27</v>
      </c>
      <c r="F22" s="14">
        <v>0.27</v>
      </c>
    </row>
    <row r="23" spans="1:5">
      <c r="A23" s="1" t="s">
        <v>375</v>
      </c>
      <c r="B23" s="13">
        <v>0</v>
      </c>
      <c r="C23" s="1"/>
      <c r="D23" t="s">
        <v>376</v>
      </c>
      <c r="E23" s="12">
        <f>F23</f>
        <v>0</v>
      </c>
    </row>
    <row r="24" spans="1:6">
      <c r="A24" s="1" t="s">
        <v>377</v>
      </c>
      <c r="B24" s="13">
        <v>0</v>
      </c>
      <c r="C24" s="1"/>
      <c r="D24" t="s">
        <v>378</v>
      </c>
      <c r="E24" s="12">
        <f>F24+M36</f>
        <v>0.066</v>
      </c>
      <c r="F24">
        <v>0</v>
      </c>
    </row>
    <row r="25" spans="1:15">
      <c r="A25" s="1" t="s">
        <v>379</v>
      </c>
      <c r="B25" s="13">
        <v>0</v>
      </c>
      <c r="C25" s="1"/>
      <c r="D25" t="s">
        <v>380</v>
      </c>
      <c r="E25" s="12">
        <f>F25</f>
        <v>0</v>
      </c>
      <c r="N25" s="1" t="s">
        <v>381</v>
      </c>
      <c r="O25" s="1" t="s">
        <v>382</v>
      </c>
    </row>
    <row r="26" spans="4:15">
      <c r="D26" t="s">
        <v>383</v>
      </c>
      <c r="E26" s="12">
        <f>F26</f>
        <v>0.08</v>
      </c>
      <c r="F26" s="11">
        <v>0.08</v>
      </c>
      <c r="G26" s="10"/>
      <c r="H26" s="10" t="s">
        <v>17</v>
      </c>
      <c r="I26" s="21" t="s">
        <v>184</v>
      </c>
      <c r="O26" s="22"/>
    </row>
    <row r="27" spans="1:9">
      <c r="A27" s="10" t="s">
        <v>384</v>
      </c>
      <c r="B27" s="10">
        <f>B18-E18</f>
        <v>1102</v>
      </c>
      <c r="C27" s="10"/>
      <c r="D27" s="10" t="s">
        <v>336</v>
      </c>
      <c r="E27" s="15">
        <f>G16/(B27+G16)</f>
        <v>0.608664772727273</v>
      </c>
      <c r="G27" s="10" t="s">
        <v>41</v>
      </c>
      <c r="H27" s="10">
        <v>33</v>
      </c>
      <c r="I27" s="9" cm="1">
        <f t="array" ref="I27">防御(H27,0)</f>
        <v>0.0115830115830117</v>
      </c>
    </row>
    <row r="28" spans="1:19">
      <c r="A28" s="10" t="s">
        <v>385</v>
      </c>
      <c r="B28" s="10">
        <f>E16-B16</f>
        <v>565</v>
      </c>
      <c r="C28" s="10"/>
      <c r="D28" s="10" t="s">
        <v>334</v>
      </c>
      <c r="E28" s="15">
        <f>1/(1+EXP(1-B28/G18))+P5</f>
        <v>0.556017760865667</v>
      </c>
      <c r="G28" s="10" t="s">
        <v>310</v>
      </c>
      <c r="H28" s="10">
        <v>66</v>
      </c>
      <c r="I28" s="9" cm="1">
        <f t="array" ref="I28">会抗(H28,0)</f>
        <v>0.0101363577539867</v>
      </c>
      <c r="N28" t="s">
        <v>386</v>
      </c>
      <c r="O28" t="s">
        <v>387</v>
      </c>
      <c r="R28" s="1" t="s">
        <v>388</v>
      </c>
      <c r="S28" s="1">
        <f>1/(1+EXP(1-$B$28/$G$18))</f>
        <v>0.456017760865667</v>
      </c>
    </row>
    <row r="29" spans="7:19">
      <c r="G29" s="10" t="s">
        <v>59</v>
      </c>
      <c r="H29" s="10">
        <v>991</v>
      </c>
      <c r="I29" s="9">
        <f>H29/B15*0.9</f>
        <v>0.0137206941111316</v>
      </c>
      <c r="N29" s="1" t="s">
        <v>389</v>
      </c>
      <c r="O29" t="s">
        <v>390</v>
      </c>
      <c r="Q29" s="20"/>
      <c r="R29" s="1" t="s">
        <v>391</v>
      </c>
      <c r="S29" s="1">
        <f>1/(1+EXP(1-($B$28-H28)/$G$18))</f>
        <v>0.432270198389951</v>
      </c>
    </row>
    <row r="30" spans="1:19">
      <c r="A30" t="s">
        <v>392</v>
      </c>
      <c r="G30" t="s">
        <v>393</v>
      </c>
      <c r="H30" t="s">
        <v>394</v>
      </c>
      <c r="I30" s="1" t="s">
        <v>17</v>
      </c>
      <c r="K30" t="s">
        <v>395</v>
      </c>
      <c r="L30" t="s">
        <v>396</v>
      </c>
      <c r="M30" s="1" t="s">
        <v>17</v>
      </c>
      <c r="R30" s="1" t="s">
        <v>397</v>
      </c>
      <c r="S30" s="1">
        <f>1-$S$28+$S$28*$E$17</f>
        <v>1.2416894132588</v>
      </c>
    </row>
    <row r="31" spans="1:19">
      <c r="A31" t="s">
        <v>24</v>
      </c>
      <c r="B31" s="16">
        <v>26</v>
      </c>
      <c r="C31" s="16">
        <v>28</v>
      </c>
      <c r="D31" s="16">
        <v>31</v>
      </c>
      <c r="E31" s="16">
        <v>33</v>
      </c>
      <c r="G31" t="s">
        <v>24</v>
      </c>
      <c r="H31">
        <v>3</v>
      </c>
      <c r="I31" s="1">
        <f>H31*$D$31</f>
        <v>93</v>
      </c>
      <c r="K31" t="s">
        <v>24</v>
      </c>
      <c r="L31">
        <v>6</v>
      </c>
      <c r="M31" s="1">
        <f>L31*$D$31</f>
        <v>186</v>
      </c>
      <c r="R31" s="1" t="s">
        <v>398</v>
      </c>
      <c r="S31" s="1">
        <f>1-$S$29+$S$29*$E$17</f>
        <v>1.22910320514667</v>
      </c>
    </row>
    <row r="32" spans="1:19">
      <c r="A32" t="s">
        <v>39</v>
      </c>
      <c r="B32" s="1">
        <f>$B$31</f>
        <v>26</v>
      </c>
      <c r="C32" s="1">
        <f>$C$31</f>
        <v>28</v>
      </c>
      <c r="D32" s="1">
        <f>$D$31</f>
        <v>31</v>
      </c>
      <c r="E32" s="1">
        <f>$E$31</f>
        <v>33</v>
      </c>
      <c r="G32" t="s">
        <v>39</v>
      </c>
      <c r="H32">
        <v>3</v>
      </c>
      <c r="I32" s="1">
        <f>H32*$D$32</f>
        <v>93</v>
      </c>
      <c r="K32" t="s">
        <v>39</v>
      </c>
      <c r="L32">
        <v>6</v>
      </c>
      <c r="M32" s="1">
        <f>L32*$D$32</f>
        <v>186</v>
      </c>
      <c r="S32" s="1">
        <f>1-(S31/S30)</f>
        <v>0.0101363577539867</v>
      </c>
    </row>
    <row r="33" spans="1:13">
      <c r="A33" t="s">
        <v>399</v>
      </c>
      <c r="B33" s="17">
        <v>7</v>
      </c>
      <c r="C33" s="17">
        <v>8</v>
      </c>
      <c r="D33" s="17">
        <v>9</v>
      </c>
      <c r="E33" s="17">
        <v>10</v>
      </c>
      <c r="G33" t="s">
        <v>399</v>
      </c>
      <c r="H33">
        <v>3</v>
      </c>
      <c r="I33" s="1">
        <f>H33*$D$33</f>
        <v>27</v>
      </c>
      <c r="K33" t="s">
        <v>399</v>
      </c>
      <c r="L33">
        <v>3</v>
      </c>
      <c r="M33" s="1">
        <f>L33*$D$33</f>
        <v>27</v>
      </c>
    </row>
    <row r="34" spans="1:13">
      <c r="A34" t="s">
        <v>47</v>
      </c>
      <c r="B34" s="17">
        <v>52</v>
      </c>
      <c r="C34" s="17">
        <v>57</v>
      </c>
      <c r="D34" s="17">
        <v>61</v>
      </c>
      <c r="E34" s="17">
        <v>66</v>
      </c>
      <c r="G34" t="s">
        <v>47</v>
      </c>
      <c r="H34">
        <v>3</v>
      </c>
      <c r="I34" s="1">
        <f>H34*$D$34</f>
        <v>183</v>
      </c>
      <c r="K34" t="s">
        <v>47</v>
      </c>
      <c r="L34">
        <v>3</v>
      </c>
      <c r="M34" s="1">
        <f>L34*$D$34</f>
        <v>183</v>
      </c>
    </row>
    <row r="35" spans="1:18">
      <c r="A35" t="s">
        <v>50</v>
      </c>
      <c r="B35" s="1">
        <f>$B$33</f>
        <v>7</v>
      </c>
      <c r="C35" s="1">
        <f>$C$33</f>
        <v>8</v>
      </c>
      <c r="D35" s="1">
        <f>$D$33</f>
        <v>9</v>
      </c>
      <c r="E35" s="1">
        <f>$E$33</f>
        <v>10</v>
      </c>
      <c r="G35" t="s">
        <v>50</v>
      </c>
      <c r="H35">
        <v>2</v>
      </c>
      <c r="I35" s="1">
        <f>H35*$D$35</f>
        <v>18</v>
      </c>
      <c r="K35" t="s">
        <v>50</v>
      </c>
      <c r="L35"/>
      <c r="M35" s="1">
        <f>L35*$D$35</f>
        <v>0</v>
      </c>
      <c r="R35" s="23">
        <f>(1-1/(1+EXP(1-(E7+G11)/G3))+1/(1+EXP(1-(E7+G11)/G3))*B5)/(1-1/(1+EXP(1-E7/G3))+1/(1+EXP(1-E7/G3))*B5)-1</f>
        <v>0.0135631879423981</v>
      </c>
    </row>
    <row r="36" spans="1:18">
      <c r="A36" t="s">
        <v>328</v>
      </c>
      <c r="B36" s="18">
        <v>0.009</v>
      </c>
      <c r="C36" s="19">
        <v>0.01</v>
      </c>
      <c r="D36" s="18">
        <v>0.011</v>
      </c>
      <c r="E36" s="18">
        <v>0.012</v>
      </c>
      <c r="G36" t="s">
        <v>328</v>
      </c>
      <c r="H36">
        <v>3</v>
      </c>
      <c r="I36" s="13">
        <f>H36*$D$36</f>
        <v>0.033</v>
      </c>
      <c r="K36" t="s">
        <v>328</v>
      </c>
      <c r="L36">
        <v>6</v>
      </c>
      <c r="M36" s="13">
        <f>L36*$D$36</f>
        <v>0.066</v>
      </c>
      <c r="R36" s="23" t="s">
        <v>400</v>
      </c>
    </row>
    <row r="37" spans="1:13">
      <c r="A37" t="s">
        <v>401</v>
      </c>
      <c r="B37" s="17">
        <v>29</v>
      </c>
      <c r="C37" s="17">
        <v>31</v>
      </c>
      <c r="D37" s="17">
        <v>34</v>
      </c>
      <c r="E37" s="17">
        <v>36</v>
      </c>
      <c r="G37" t="s">
        <v>401</v>
      </c>
      <c r="H37">
        <v>2</v>
      </c>
      <c r="I37" s="1">
        <f>H37*$D$37/2</f>
        <v>34</v>
      </c>
      <c r="K37" t="s">
        <v>401</v>
      </c>
      <c r="L37"/>
      <c r="M37" s="1">
        <f>L37*$D$37</f>
        <v>0</v>
      </c>
    </row>
    <row r="38" spans="1:18">
      <c r="A38" t="s">
        <v>26</v>
      </c>
      <c r="B38" s="1">
        <f>$B$33</f>
        <v>7</v>
      </c>
      <c r="C38" s="1">
        <f>$C$33</f>
        <v>8</v>
      </c>
      <c r="D38" s="1">
        <f>$D$33</f>
        <v>9</v>
      </c>
      <c r="E38" s="1">
        <f>$E$33</f>
        <v>10</v>
      </c>
      <c r="G38" t="s">
        <v>26</v>
      </c>
      <c r="H38">
        <v>2</v>
      </c>
      <c r="I38" s="1">
        <f>H38*$D$38</f>
        <v>18</v>
      </c>
      <c r="K38" t="s">
        <v>26</v>
      </c>
      <c r="L38"/>
      <c r="M38" s="1">
        <f>L38*$D$38</f>
        <v>0</v>
      </c>
      <c r="R38" s="1">
        <f>1/(1+EXP(1-(E7+G11)/G3))</f>
        <v>0.478007157714585</v>
      </c>
    </row>
    <row r="39" spans="1:18">
      <c r="A39" t="s">
        <v>31</v>
      </c>
      <c r="B39" s="1">
        <f>$B$33</f>
        <v>7</v>
      </c>
      <c r="C39" s="1">
        <f>$C$33</f>
        <v>8</v>
      </c>
      <c r="D39" s="1">
        <f>$D$33</f>
        <v>9</v>
      </c>
      <c r="E39" s="1">
        <f>$E$33</f>
        <v>10</v>
      </c>
      <c r="G39" t="s">
        <v>31</v>
      </c>
      <c r="H39">
        <v>2</v>
      </c>
      <c r="I39" s="1">
        <f>H39*$D$39</f>
        <v>18</v>
      </c>
      <c r="K39" t="s">
        <v>31</v>
      </c>
      <c r="L39"/>
      <c r="M39" s="1">
        <f>L39*$D$39</f>
        <v>0</v>
      </c>
      <c r="R39" s="1">
        <f>1/(1+EXP(1-E7/G3))</f>
        <v>0.449120379742604</v>
      </c>
    </row>
    <row r="40" spans="1:12">
      <c r="A40" t="s">
        <v>41</v>
      </c>
      <c r="B40" s="1">
        <f>$B$31</f>
        <v>26</v>
      </c>
      <c r="C40" s="1">
        <f>$C$31</f>
        <v>28</v>
      </c>
      <c r="D40" s="1">
        <f>$D$31</f>
        <v>31</v>
      </c>
      <c r="E40" s="1">
        <f>$E$31</f>
        <v>33</v>
      </c>
      <c r="H40">
        <f>SUM(H31:H37)+(H38+H39)/2</f>
        <v>21</v>
      </c>
      <c r="K40"/>
      <c r="L40">
        <f>SUM(L31:L37)+(L38+L39)/2</f>
        <v>24</v>
      </c>
    </row>
    <row r="41" spans="1:5">
      <c r="A41" t="s">
        <v>402</v>
      </c>
      <c r="B41" s="1">
        <f>B37</f>
        <v>29</v>
      </c>
      <c r="C41" s="1">
        <f>C37</f>
        <v>31</v>
      </c>
      <c r="D41" s="1">
        <f>D37</f>
        <v>34</v>
      </c>
      <c r="E41" s="1">
        <v>36</v>
      </c>
    </row>
    <row r="42" spans="1:5">
      <c r="A42" t="s">
        <v>49</v>
      </c>
      <c r="B42" s="1">
        <f>B34</f>
        <v>52</v>
      </c>
      <c r="C42" s="1">
        <f>C34</f>
        <v>57</v>
      </c>
      <c r="D42" s="1">
        <f>D34</f>
        <v>61</v>
      </c>
      <c r="E42" s="1">
        <f>E34</f>
        <v>66</v>
      </c>
    </row>
    <row r="43" spans="1:5">
      <c r="A43" t="s">
        <v>403</v>
      </c>
      <c r="B43" s="1">
        <f>B37*2</f>
        <v>58</v>
      </c>
      <c r="C43" s="1">
        <f>C37*2</f>
        <v>62</v>
      </c>
      <c r="D43" s="1">
        <f>D37*2</f>
        <v>68</v>
      </c>
      <c r="E43" s="1">
        <f>E37*2</f>
        <v>72</v>
      </c>
    </row>
    <row r="44" spans="1:5">
      <c r="A44" t="s">
        <v>365</v>
      </c>
      <c r="B44" s="13">
        <f>B36</f>
        <v>0.009</v>
      </c>
      <c r="C44" s="13">
        <f>C36</f>
        <v>0.01</v>
      </c>
      <c r="D44" s="13">
        <f>D36</f>
        <v>0.011</v>
      </c>
      <c r="E44" s="13">
        <f>E36</f>
        <v>0.012</v>
      </c>
    </row>
  </sheetData>
  <mergeCells count="4">
    <mergeCell ref="A1:B1"/>
    <mergeCell ref="D1:G1"/>
    <mergeCell ref="A14:B14"/>
    <mergeCell ref="D14:E14"/>
  </mergeCells>
  <pageMargins left="0.75" right="0.75" top="1" bottom="1" header="0.5" footer="0.5"/>
  <headerFooter/>
  <ignoredErrors>
    <ignoredError sqref="I40:J40 A40:G40 J34:J39 J30:J32 B16:D16 S41:Z41 A41:Q41 N40:Z40 S38:Z39 N38:Q39 N37:Z37 S36:Z36 Y35:Z35 S35:V35 N35:Q36 N34:Z34 S33:Z33 N30:P33 A29:F39 J28:M29 F27:F28 A26:G26 M25 S23:Z27 K23:P24 M22:V22 K22 L21:N21 A20:C22 Q19:V21 F19:N20 F18:V18 P17:V17 F17:N17 A17:D19 T16:V16 G16:R16 Z15:Z22 F15:J15 C15:D15 Y2:Z14 C3:J4 E2:J2 C2 A1:Z1 E21:H22 A23:H25 P25:P29 M26:N27 K25:K27 T28:Z32 C27:C28 A14:J14 F13:J13 I10:J12 A6:C13 F5:J9 A42:Z44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3" master="" otherUserPermission="visible">
    <arrUserId title="区域1" rangeCreator="" othersAccessPermission="edit"/>
  </rangeList>
  <rangeList sheetStid="2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4.1.1抗拆内功计算器</vt:lpstr>
      <vt:lpstr>4.1.1.3抗拆内功计算器</vt:lpstr>
      <vt:lpstr>更新说明</vt:lpstr>
      <vt:lpstr>第一套计算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祝云天</cp:lastModifiedBy>
  <dcterms:created xsi:type="dcterms:W3CDTF">2023-05-12T11:15:00Z</dcterms:created>
  <dcterms:modified xsi:type="dcterms:W3CDTF">2026-07-20T15:00:39Z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4025B54B9BE64853A9608430E305F5F8_13</vt:lpwstr>
  </property>
  <property fmtid="{D5CDD505-2E9C-101B-9397-08002B2CF9AE}" pid="4" name="CalculationRule">
    <vt:i4>0</vt:i4>
  </property>
</Properties>
</file>